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rlan\Documents\AMSE\Mag 3 Master 2\Applied Finance\Finance de marché\"/>
    </mc:Choice>
  </mc:AlternateContent>
  <xr:revisionPtr revIDLastSave="0" documentId="8_{E97BFDA4-84AC-450A-AD6D-04B7F88E324A}" xr6:coauthVersionLast="47" xr6:coauthVersionMax="47" xr10:uidLastSave="{00000000-0000-0000-0000-000000000000}"/>
  <bookViews>
    <workbookView xWindow="-108" yWindow="-108" windowWidth="23256" windowHeight="12576" activeTab="2" xr2:uid="{CF59C2AC-BA72-0445-ACA4-8BB9428DBB25}"/>
  </bookViews>
  <sheets>
    <sheet name="Stress Test de la stratégie 1" sheetId="7" r:id="rId1"/>
    <sheet name="Backtest Stratégie 1" sheetId="5" r:id="rId2"/>
    <sheet name="Stress Test de la stratégie 2" sheetId="3" r:id="rId3"/>
    <sheet name="Backtest Stratégie 2" sheetId="6" r:id="rId4"/>
  </sheets>
  <definedNames>
    <definedName name="_xleta.DELTA" hidden="1" xlm="1">#NAME?</definedName>
    <definedName name="_xleta.LINEST" hidden="1" xlm="1">#NAME?</definedName>
    <definedName name="_xleta.PRICE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" i="3" l="1"/>
  <c r="P7" i="3"/>
  <c r="N6" i="6" a="1"/>
  <c r="N6" i="6" s="1"/>
  <c r="AF22" i="3"/>
  <c r="Z16" i="3"/>
  <c r="W10" i="3"/>
  <c r="F6" i="7"/>
  <c r="F62" i="3"/>
  <c r="F58" i="7"/>
  <c r="J54" i="7"/>
  <c r="L55" i="3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7" i="5"/>
  <c r="AL6" i="7"/>
  <c r="AK8" i="7"/>
  <c r="AI42" i="3"/>
  <c r="AM7" i="3"/>
  <c r="AM8" i="3"/>
  <c r="AM9" i="3"/>
  <c r="AM10" i="3"/>
  <c r="AM11" i="3"/>
  <c r="AM12" i="3"/>
  <c r="AM13" i="3"/>
  <c r="AM14" i="3"/>
  <c r="AM15" i="3"/>
  <c r="AM16" i="3"/>
  <c r="AM17" i="3"/>
  <c r="AM18" i="3"/>
  <c r="AM19" i="3"/>
  <c r="AM20" i="3"/>
  <c r="AM21" i="3"/>
  <c r="AM22" i="3"/>
  <c r="AM23" i="3"/>
  <c r="AM24" i="3"/>
  <c r="AM25" i="3"/>
  <c r="AM26" i="3"/>
  <c r="AM27" i="3"/>
  <c r="AM28" i="3"/>
  <c r="AM29" i="3"/>
  <c r="AM30" i="3"/>
  <c r="AM31" i="3"/>
  <c r="AM32" i="3"/>
  <c r="AM33" i="3"/>
  <c r="AM34" i="3"/>
  <c r="AM35" i="3"/>
  <c r="AM36" i="3"/>
  <c r="AM37" i="3"/>
  <c r="AM38" i="3"/>
  <c r="AM39" i="3"/>
  <c r="AM40" i="3"/>
  <c r="AM41" i="3"/>
  <c r="AM6" i="3"/>
  <c r="AJ6" i="3"/>
  <c r="AL7" i="3"/>
  <c r="AL8" i="3"/>
  <c r="AL9" i="3"/>
  <c r="AL10" i="3"/>
  <c r="AL11" i="3"/>
  <c r="AL12" i="3"/>
  <c r="AL13" i="3"/>
  <c r="AL14" i="3"/>
  <c r="AL15" i="3"/>
  <c r="AL16" i="3"/>
  <c r="AL17" i="3"/>
  <c r="AL18" i="3"/>
  <c r="AL19" i="3"/>
  <c r="AL20" i="3"/>
  <c r="AL21" i="3"/>
  <c r="AL22" i="3"/>
  <c r="AL23" i="3"/>
  <c r="AL24" i="3"/>
  <c r="AL25" i="3"/>
  <c r="AL26" i="3"/>
  <c r="AL27" i="3"/>
  <c r="AL28" i="3"/>
  <c r="AL29" i="3"/>
  <c r="AL30" i="3"/>
  <c r="AL31" i="3"/>
  <c r="AL32" i="3"/>
  <c r="AL33" i="3"/>
  <c r="AL34" i="3"/>
  <c r="AL35" i="3"/>
  <c r="AL36" i="3"/>
  <c r="AL37" i="3"/>
  <c r="AL38" i="3"/>
  <c r="AL39" i="3"/>
  <c r="AL40" i="3"/>
  <c r="AL41" i="3"/>
  <c r="AL42" i="3"/>
  <c r="AL6" i="3"/>
  <c r="AK6" i="3"/>
  <c r="AL4" i="3"/>
  <c r="AL3" i="3"/>
  <c r="AK7" i="3"/>
  <c r="AK8" i="3"/>
  <c r="AK9" i="3"/>
  <c r="AK10" i="3"/>
  <c r="AK11" i="3"/>
  <c r="AK12" i="3"/>
  <c r="AK13" i="3"/>
  <c r="AK14" i="3"/>
  <c r="AK15" i="3"/>
  <c r="AK16" i="3"/>
  <c r="AK17" i="3"/>
  <c r="AK18" i="3"/>
  <c r="AK19" i="3"/>
  <c r="AK20" i="3"/>
  <c r="AK21" i="3"/>
  <c r="AK22" i="3"/>
  <c r="AK23" i="3"/>
  <c r="AK24" i="3"/>
  <c r="AK25" i="3"/>
  <c r="AK26" i="3"/>
  <c r="AK27" i="3"/>
  <c r="AK28" i="3"/>
  <c r="AK29" i="3"/>
  <c r="AK30" i="3"/>
  <c r="AK31" i="3"/>
  <c r="AK32" i="3"/>
  <c r="AK33" i="3"/>
  <c r="AK34" i="3"/>
  <c r="AK35" i="3"/>
  <c r="AK36" i="3"/>
  <c r="AK37" i="3"/>
  <c r="AK38" i="3"/>
  <c r="AK39" i="3"/>
  <c r="AK40" i="3"/>
  <c r="AK41" i="3"/>
  <c r="AK42" i="3"/>
  <c r="AK4" i="3"/>
  <c r="AK3" i="3"/>
  <c r="AI7" i="3"/>
  <c r="AI4" i="3"/>
  <c r="J7" i="3"/>
  <c r="J11" i="3"/>
  <c r="J15" i="3"/>
  <c r="J19" i="3"/>
  <c r="J23" i="3"/>
  <c r="J27" i="3"/>
  <c r="J31" i="3"/>
  <c r="J35" i="3"/>
  <c r="J39" i="3"/>
  <c r="J43" i="3"/>
  <c r="J47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6" i="3"/>
  <c r="H7" i="3"/>
  <c r="H8" i="3"/>
  <c r="J8" i="3" s="1"/>
  <c r="H9" i="3"/>
  <c r="H10" i="3"/>
  <c r="J10" i="3" s="1"/>
  <c r="H11" i="3"/>
  <c r="H12" i="3"/>
  <c r="J12" i="3" s="1"/>
  <c r="H13" i="3"/>
  <c r="H14" i="3"/>
  <c r="J14" i="3" s="1"/>
  <c r="H15" i="3"/>
  <c r="H16" i="3"/>
  <c r="J16" i="3" s="1"/>
  <c r="H17" i="3"/>
  <c r="H18" i="3"/>
  <c r="J18" i="3" s="1"/>
  <c r="H19" i="3"/>
  <c r="H20" i="3"/>
  <c r="J20" i="3" s="1"/>
  <c r="H21" i="3"/>
  <c r="H22" i="3"/>
  <c r="J22" i="3" s="1"/>
  <c r="H23" i="3"/>
  <c r="H24" i="3"/>
  <c r="J24" i="3" s="1"/>
  <c r="H25" i="3"/>
  <c r="H26" i="3"/>
  <c r="J26" i="3" s="1"/>
  <c r="H27" i="3"/>
  <c r="H28" i="3"/>
  <c r="J28" i="3" s="1"/>
  <c r="H29" i="3"/>
  <c r="H30" i="3"/>
  <c r="J30" i="3" s="1"/>
  <c r="H31" i="3"/>
  <c r="H32" i="3"/>
  <c r="J32" i="3" s="1"/>
  <c r="H33" i="3"/>
  <c r="H34" i="3"/>
  <c r="J34" i="3" s="1"/>
  <c r="H35" i="3"/>
  <c r="H36" i="3"/>
  <c r="J36" i="3" s="1"/>
  <c r="H37" i="3"/>
  <c r="H38" i="3"/>
  <c r="J38" i="3" s="1"/>
  <c r="H39" i="3"/>
  <c r="H40" i="3"/>
  <c r="J40" i="3" s="1"/>
  <c r="H41" i="3"/>
  <c r="H42" i="3"/>
  <c r="J42" i="3" s="1"/>
  <c r="H43" i="3"/>
  <c r="H44" i="3"/>
  <c r="J44" i="3" s="1"/>
  <c r="H45" i="3"/>
  <c r="H46" i="3"/>
  <c r="J46" i="3" s="1"/>
  <c r="H47" i="3"/>
  <c r="H48" i="3"/>
  <c r="J48" i="3" s="1"/>
  <c r="H49" i="3"/>
  <c r="J49" i="3" s="1"/>
  <c r="H6" i="3"/>
  <c r="J9" i="3" s="1"/>
  <c r="J71" i="3"/>
  <c r="H71" i="3"/>
  <c r="F71" i="3"/>
  <c r="F55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56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55" i="3"/>
  <c r="J70" i="7"/>
  <c r="H70" i="7"/>
  <c r="F7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F61" i="7" s="1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6" i="7"/>
  <c r="F7" i="7"/>
  <c r="F8" i="7"/>
  <c r="H8" i="7" s="1"/>
  <c r="F9" i="7"/>
  <c r="F10" i="7"/>
  <c r="F11" i="7"/>
  <c r="F12" i="7"/>
  <c r="F13" i="7"/>
  <c r="F14" i="7"/>
  <c r="H14" i="7" s="1"/>
  <c r="F15" i="7"/>
  <c r="F16" i="7"/>
  <c r="F17" i="7"/>
  <c r="F18" i="7"/>
  <c r="H18" i="7" s="1"/>
  <c r="F19" i="7"/>
  <c r="F20" i="7"/>
  <c r="F21" i="7"/>
  <c r="F22" i="7"/>
  <c r="F23" i="7"/>
  <c r="F24" i="7"/>
  <c r="H24" i="7" s="1"/>
  <c r="F25" i="7"/>
  <c r="F26" i="7"/>
  <c r="F27" i="7"/>
  <c r="F28" i="7"/>
  <c r="F29" i="7"/>
  <c r="F30" i="7"/>
  <c r="F31" i="7"/>
  <c r="F32" i="7"/>
  <c r="F33" i="7"/>
  <c r="F34" i="7"/>
  <c r="H34" i="7" s="1"/>
  <c r="F35" i="7"/>
  <c r="H35" i="7" s="1"/>
  <c r="F36" i="7"/>
  <c r="F37" i="7"/>
  <c r="F38" i="7"/>
  <c r="F39" i="7"/>
  <c r="F40" i="7"/>
  <c r="F41" i="7"/>
  <c r="F42" i="7"/>
  <c r="F43" i="7"/>
  <c r="F44" i="7"/>
  <c r="H44" i="7" s="1"/>
  <c r="F45" i="7"/>
  <c r="H45" i="7" s="1"/>
  <c r="F46" i="7"/>
  <c r="F47" i="7"/>
  <c r="F48" i="7"/>
  <c r="F49" i="7"/>
  <c r="H12" i="7"/>
  <c r="F54" i="7"/>
  <c r="B97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55" i="7"/>
  <c r="A90" i="7"/>
  <c r="A91" i="7"/>
  <c r="A92" i="7"/>
  <c r="A93" i="7"/>
  <c r="A94" i="7"/>
  <c r="A95" i="7"/>
  <c r="A96" i="7"/>
  <c r="A97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55" i="7"/>
  <c r="A56" i="7"/>
  <c r="A57" i="7"/>
  <c r="A58" i="7"/>
  <c r="A59" i="7"/>
  <c r="A60" i="7"/>
  <c r="A61" i="7"/>
  <c r="A54" i="7"/>
  <c r="N6" i="5"/>
  <c r="L11" i="7"/>
  <c r="AK4" i="7"/>
  <c r="AJ4" i="7"/>
  <c r="AI4" i="7"/>
  <c r="AI7" i="7"/>
  <c r="L10" i="7"/>
  <c r="L9" i="7"/>
  <c r="L8" i="7"/>
  <c r="L7" i="7"/>
  <c r="V11" i="3"/>
  <c r="W11" i="3" s="1"/>
  <c r="V12" i="3"/>
  <c r="W12" i="3" s="1"/>
  <c r="V10" i="3"/>
  <c r="U7" i="6"/>
  <c r="U49" i="6"/>
  <c r="T49" i="6"/>
  <c r="S49" i="6"/>
  <c r="R49" i="6"/>
  <c r="O49" i="6"/>
  <c r="H49" i="6"/>
  <c r="U48" i="6"/>
  <c r="T48" i="6"/>
  <c r="S48" i="6"/>
  <c r="R48" i="6"/>
  <c r="O48" i="6"/>
  <c r="H48" i="6"/>
  <c r="U47" i="6"/>
  <c r="T47" i="6"/>
  <c r="S47" i="6"/>
  <c r="R47" i="6"/>
  <c r="O47" i="6"/>
  <c r="H47" i="6"/>
  <c r="U46" i="6"/>
  <c r="T46" i="6"/>
  <c r="S46" i="6"/>
  <c r="R46" i="6"/>
  <c r="O46" i="6"/>
  <c r="H46" i="6"/>
  <c r="U45" i="6"/>
  <c r="T45" i="6"/>
  <c r="S45" i="6"/>
  <c r="R45" i="6"/>
  <c r="O45" i="6"/>
  <c r="H45" i="6"/>
  <c r="U44" i="6"/>
  <c r="T44" i="6"/>
  <c r="S44" i="6"/>
  <c r="R44" i="6"/>
  <c r="O44" i="6"/>
  <c r="H44" i="6"/>
  <c r="U43" i="6"/>
  <c r="T43" i="6"/>
  <c r="S43" i="6"/>
  <c r="R43" i="6"/>
  <c r="O43" i="6"/>
  <c r="H43" i="6"/>
  <c r="U42" i="6"/>
  <c r="T42" i="6"/>
  <c r="S42" i="6"/>
  <c r="R42" i="6"/>
  <c r="O42" i="6"/>
  <c r="H42" i="6"/>
  <c r="U41" i="6"/>
  <c r="T41" i="6"/>
  <c r="S41" i="6"/>
  <c r="R41" i="6"/>
  <c r="O41" i="6"/>
  <c r="H41" i="6"/>
  <c r="U40" i="6"/>
  <c r="T40" i="6"/>
  <c r="S40" i="6"/>
  <c r="R40" i="6"/>
  <c r="O40" i="6"/>
  <c r="H40" i="6"/>
  <c r="U39" i="6"/>
  <c r="T39" i="6"/>
  <c r="S39" i="6"/>
  <c r="R39" i="6"/>
  <c r="O39" i="6"/>
  <c r="H39" i="6"/>
  <c r="U38" i="6"/>
  <c r="T38" i="6"/>
  <c r="S38" i="6"/>
  <c r="R38" i="6"/>
  <c r="O38" i="6"/>
  <c r="H38" i="6"/>
  <c r="U37" i="6"/>
  <c r="T37" i="6"/>
  <c r="S37" i="6"/>
  <c r="R37" i="6"/>
  <c r="O37" i="6"/>
  <c r="P37" i="6" s="1"/>
  <c r="H37" i="6"/>
  <c r="U36" i="6"/>
  <c r="T36" i="6"/>
  <c r="S36" i="6"/>
  <c r="R36" i="6"/>
  <c r="O36" i="6"/>
  <c r="H36" i="6"/>
  <c r="U35" i="6"/>
  <c r="T35" i="6"/>
  <c r="S35" i="6"/>
  <c r="R35" i="6"/>
  <c r="O35" i="6"/>
  <c r="H35" i="6"/>
  <c r="U34" i="6"/>
  <c r="T34" i="6"/>
  <c r="S34" i="6"/>
  <c r="R34" i="6"/>
  <c r="O34" i="6"/>
  <c r="H34" i="6"/>
  <c r="U33" i="6"/>
  <c r="T33" i="6"/>
  <c r="S33" i="6"/>
  <c r="R33" i="6"/>
  <c r="O33" i="6"/>
  <c r="H33" i="6"/>
  <c r="U32" i="6"/>
  <c r="T32" i="6"/>
  <c r="S32" i="6"/>
  <c r="R32" i="6"/>
  <c r="O32" i="6"/>
  <c r="H32" i="6"/>
  <c r="U31" i="6"/>
  <c r="T31" i="6"/>
  <c r="S31" i="6"/>
  <c r="R31" i="6"/>
  <c r="O31" i="6"/>
  <c r="H31" i="6"/>
  <c r="U30" i="6"/>
  <c r="T30" i="6"/>
  <c r="S30" i="6"/>
  <c r="R30" i="6"/>
  <c r="O30" i="6"/>
  <c r="H30" i="6"/>
  <c r="U29" i="6"/>
  <c r="T29" i="6"/>
  <c r="S29" i="6"/>
  <c r="R29" i="6"/>
  <c r="O29" i="6"/>
  <c r="H29" i="6"/>
  <c r="U28" i="6"/>
  <c r="T28" i="6"/>
  <c r="S28" i="6"/>
  <c r="R28" i="6"/>
  <c r="O28" i="6"/>
  <c r="H28" i="6"/>
  <c r="U27" i="6"/>
  <c r="T27" i="6"/>
  <c r="S27" i="6"/>
  <c r="R27" i="6"/>
  <c r="O27" i="6"/>
  <c r="H27" i="6"/>
  <c r="U26" i="6"/>
  <c r="T26" i="6"/>
  <c r="S26" i="6"/>
  <c r="R26" i="6"/>
  <c r="O26" i="6"/>
  <c r="H26" i="6"/>
  <c r="U25" i="6"/>
  <c r="T25" i="6"/>
  <c r="S25" i="6"/>
  <c r="R25" i="6"/>
  <c r="O25" i="6"/>
  <c r="H25" i="6"/>
  <c r="U24" i="6"/>
  <c r="T24" i="6"/>
  <c r="S24" i="6"/>
  <c r="R24" i="6"/>
  <c r="O24" i="6"/>
  <c r="P24" i="6" s="1"/>
  <c r="H24" i="6"/>
  <c r="U23" i="6"/>
  <c r="T23" i="6"/>
  <c r="S23" i="6"/>
  <c r="R23" i="6"/>
  <c r="O23" i="6"/>
  <c r="H23" i="6"/>
  <c r="U22" i="6"/>
  <c r="T22" i="6"/>
  <c r="S22" i="6"/>
  <c r="R22" i="6"/>
  <c r="O22" i="6"/>
  <c r="H22" i="6"/>
  <c r="U21" i="6"/>
  <c r="T21" i="6"/>
  <c r="S21" i="6"/>
  <c r="R21" i="6"/>
  <c r="O21" i="6"/>
  <c r="H21" i="6"/>
  <c r="U20" i="6"/>
  <c r="T20" i="6"/>
  <c r="S20" i="6"/>
  <c r="R20" i="6"/>
  <c r="O20" i="6"/>
  <c r="H20" i="6"/>
  <c r="U19" i="6"/>
  <c r="T19" i="6"/>
  <c r="S19" i="6"/>
  <c r="R19" i="6"/>
  <c r="O19" i="6"/>
  <c r="H19" i="6"/>
  <c r="U18" i="6"/>
  <c r="T18" i="6"/>
  <c r="S18" i="6"/>
  <c r="R18" i="6"/>
  <c r="O18" i="6"/>
  <c r="H18" i="6"/>
  <c r="U17" i="6"/>
  <c r="T17" i="6"/>
  <c r="S17" i="6"/>
  <c r="R17" i="6"/>
  <c r="O17" i="6"/>
  <c r="H17" i="6"/>
  <c r="U16" i="6"/>
  <c r="T16" i="6"/>
  <c r="S16" i="6"/>
  <c r="R16" i="6"/>
  <c r="O16" i="6"/>
  <c r="H16" i="6"/>
  <c r="U15" i="6"/>
  <c r="T15" i="6"/>
  <c r="S15" i="6"/>
  <c r="R15" i="6"/>
  <c r="O15" i="6"/>
  <c r="H15" i="6"/>
  <c r="U14" i="6"/>
  <c r="T14" i="6"/>
  <c r="S14" i="6"/>
  <c r="R14" i="6"/>
  <c r="O14" i="6"/>
  <c r="H14" i="6"/>
  <c r="U13" i="6"/>
  <c r="T13" i="6"/>
  <c r="S13" i="6"/>
  <c r="R13" i="6"/>
  <c r="O13" i="6"/>
  <c r="H13" i="6"/>
  <c r="U12" i="6"/>
  <c r="T12" i="6"/>
  <c r="S12" i="6"/>
  <c r="R12" i="6"/>
  <c r="O12" i="6"/>
  <c r="H12" i="6"/>
  <c r="U11" i="6"/>
  <c r="T11" i="6"/>
  <c r="S11" i="6"/>
  <c r="R11" i="6"/>
  <c r="O11" i="6"/>
  <c r="H11" i="6"/>
  <c r="U10" i="6"/>
  <c r="T10" i="6"/>
  <c r="S10" i="6"/>
  <c r="R10" i="6"/>
  <c r="O10" i="6"/>
  <c r="H10" i="6"/>
  <c r="U9" i="6"/>
  <c r="T9" i="6"/>
  <c r="S9" i="6"/>
  <c r="R9" i="6"/>
  <c r="O9" i="6"/>
  <c r="H9" i="6"/>
  <c r="U8" i="6"/>
  <c r="T8" i="6"/>
  <c r="S8" i="6"/>
  <c r="R8" i="6"/>
  <c r="O8" i="6"/>
  <c r="H8" i="6"/>
  <c r="T7" i="6"/>
  <c r="S7" i="6"/>
  <c r="R7" i="6"/>
  <c r="O7" i="6"/>
  <c r="H7" i="6"/>
  <c r="O6" i="6"/>
  <c r="H6" i="6"/>
  <c r="S49" i="5"/>
  <c r="R49" i="5"/>
  <c r="Q49" i="5"/>
  <c r="N49" i="5"/>
  <c r="H49" i="5"/>
  <c r="S48" i="5"/>
  <c r="R48" i="5"/>
  <c r="Q48" i="5"/>
  <c r="N48" i="5"/>
  <c r="H48" i="5"/>
  <c r="S47" i="5"/>
  <c r="R47" i="5"/>
  <c r="Q47" i="5"/>
  <c r="N47" i="5"/>
  <c r="H47" i="5"/>
  <c r="S46" i="5"/>
  <c r="R46" i="5"/>
  <c r="Q46" i="5"/>
  <c r="N46" i="5"/>
  <c r="H46" i="5"/>
  <c r="S45" i="5"/>
  <c r="R45" i="5"/>
  <c r="Q45" i="5"/>
  <c r="N45" i="5"/>
  <c r="H45" i="5"/>
  <c r="S44" i="5"/>
  <c r="R44" i="5"/>
  <c r="Q44" i="5"/>
  <c r="N44" i="5"/>
  <c r="H44" i="5"/>
  <c r="S43" i="5"/>
  <c r="R43" i="5"/>
  <c r="Q43" i="5"/>
  <c r="N43" i="5"/>
  <c r="H43" i="5"/>
  <c r="S42" i="5"/>
  <c r="R42" i="5"/>
  <c r="Q42" i="5"/>
  <c r="N42" i="5"/>
  <c r="H42" i="5"/>
  <c r="S41" i="5"/>
  <c r="R41" i="5"/>
  <c r="Q41" i="5"/>
  <c r="N41" i="5"/>
  <c r="H41" i="5"/>
  <c r="S40" i="5"/>
  <c r="R40" i="5"/>
  <c r="Q40" i="5"/>
  <c r="N40" i="5"/>
  <c r="H40" i="5"/>
  <c r="S39" i="5"/>
  <c r="R39" i="5"/>
  <c r="Q39" i="5"/>
  <c r="N39" i="5"/>
  <c r="H39" i="5"/>
  <c r="S38" i="5"/>
  <c r="R38" i="5"/>
  <c r="Q38" i="5"/>
  <c r="N38" i="5"/>
  <c r="H38" i="5"/>
  <c r="S37" i="5"/>
  <c r="R37" i="5"/>
  <c r="Q37" i="5"/>
  <c r="N37" i="5"/>
  <c r="H37" i="5"/>
  <c r="S36" i="5"/>
  <c r="R36" i="5"/>
  <c r="Q36" i="5"/>
  <c r="N36" i="5"/>
  <c r="H36" i="5"/>
  <c r="S35" i="5"/>
  <c r="R35" i="5"/>
  <c r="Q35" i="5"/>
  <c r="N35" i="5"/>
  <c r="H35" i="5"/>
  <c r="S34" i="5"/>
  <c r="R34" i="5"/>
  <c r="Q34" i="5"/>
  <c r="N34" i="5"/>
  <c r="H34" i="5"/>
  <c r="S33" i="5"/>
  <c r="R33" i="5"/>
  <c r="Q33" i="5"/>
  <c r="N33" i="5"/>
  <c r="H33" i="5"/>
  <c r="S32" i="5"/>
  <c r="R32" i="5"/>
  <c r="Q32" i="5"/>
  <c r="N32" i="5"/>
  <c r="H32" i="5"/>
  <c r="S31" i="5"/>
  <c r="R31" i="5"/>
  <c r="Q31" i="5"/>
  <c r="N31" i="5"/>
  <c r="H31" i="5"/>
  <c r="S30" i="5"/>
  <c r="R30" i="5"/>
  <c r="Q30" i="5"/>
  <c r="N30" i="5"/>
  <c r="O30" i="5" s="1"/>
  <c r="H30" i="5"/>
  <c r="S29" i="5"/>
  <c r="R29" i="5"/>
  <c r="Q29" i="5"/>
  <c r="N29" i="5"/>
  <c r="H29" i="5"/>
  <c r="S28" i="5"/>
  <c r="R28" i="5"/>
  <c r="Q28" i="5"/>
  <c r="N28" i="5"/>
  <c r="H28" i="5"/>
  <c r="S27" i="5"/>
  <c r="R27" i="5"/>
  <c r="Q27" i="5"/>
  <c r="N27" i="5"/>
  <c r="H27" i="5"/>
  <c r="S26" i="5"/>
  <c r="R26" i="5"/>
  <c r="Q26" i="5"/>
  <c r="N26" i="5"/>
  <c r="H26" i="5"/>
  <c r="S25" i="5"/>
  <c r="R25" i="5"/>
  <c r="Q25" i="5"/>
  <c r="N25" i="5"/>
  <c r="H25" i="5"/>
  <c r="S24" i="5"/>
  <c r="R24" i="5"/>
  <c r="Q24" i="5"/>
  <c r="N24" i="5"/>
  <c r="H24" i="5"/>
  <c r="S23" i="5"/>
  <c r="R23" i="5"/>
  <c r="Q23" i="5"/>
  <c r="N23" i="5"/>
  <c r="H23" i="5"/>
  <c r="S22" i="5"/>
  <c r="R22" i="5"/>
  <c r="Q22" i="5"/>
  <c r="N22" i="5"/>
  <c r="H22" i="5"/>
  <c r="S21" i="5"/>
  <c r="R21" i="5"/>
  <c r="Q21" i="5"/>
  <c r="N21" i="5"/>
  <c r="H21" i="5"/>
  <c r="S20" i="5"/>
  <c r="R20" i="5"/>
  <c r="Q20" i="5"/>
  <c r="N20" i="5"/>
  <c r="H20" i="5"/>
  <c r="S19" i="5"/>
  <c r="R19" i="5"/>
  <c r="Q19" i="5"/>
  <c r="N19" i="5"/>
  <c r="H19" i="5"/>
  <c r="S18" i="5"/>
  <c r="R18" i="5"/>
  <c r="Q18" i="5"/>
  <c r="N18" i="5"/>
  <c r="H18" i="5"/>
  <c r="S17" i="5"/>
  <c r="R17" i="5"/>
  <c r="Q17" i="5"/>
  <c r="N17" i="5"/>
  <c r="H17" i="5"/>
  <c r="S16" i="5"/>
  <c r="R16" i="5"/>
  <c r="Q16" i="5"/>
  <c r="N16" i="5"/>
  <c r="H16" i="5"/>
  <c r="S15" i="5"/>
  <c r="R15" i="5"/>
  <c r="Q15" i="5"/>
  <c r="N15" i="5"/>
  <c r="H15" i="5"/>
  <c r="S14" i="5"/>
  <c r="R14" i="5"/>
  <c r="Q14" i="5"/>
  <c r="N14" i="5"/>
  <c r="H14" i="5"/>
  <c r="S13" i="5"/>
  <c r="R13" i="5"/>
  <c r="Q13" i="5"/>
  <c r="N13" i="5"/>
  <c r="H13" i="5"/>
  <c r="S12" i="5"/>
  <c r="R12" i="5"/>
  <c r="Q12" i="5"/>
  <c r="N12" i="5"/>
  <c r="H12" i="5"/>
  <c r="S11" i="5"/>
  <c r="R11" i="5"/>
  <c r="Q11" i="5"/>
  <c r="N11" i="5"/>
  <c r="H11" i="5"/>
  <c r="S10" i="5"/>
  <c r="R10" i="5"/>
  <c r="Q10" i="5"/>
  <c r="N10" i="5"/>
  <c r="H10" i="5"/>
  <c r="S9" i="5"/>
  <c r="R9" i="5"/>
  <c r="Q9" i="5"/>
  <c r="N9" i="5"/>
  <c r="H9" i="5"/>
  <c r="S8" i="5"/>
  <c r="R8" i="5"/>
  <c r="Q8" i="5"/>
  <c r="N8" i="5"/>
  <c r="H8" i="5"/>
  <c r="S7" i="5"/>
  <c r="R7" i="5"/>
  <c r="Q7" i="5"/>
  <c r="N7" i="5"/>
  <c r="O7" i="5" s="1"/>
  <c r="P7" i="5" s="1"/>
  <c r="H7" i="5"/>
  <c r="H6" i="5"/>
  <c r="R7" i="3"/>
  <c r="W9" i="3"/>
  <c r="V9" i="3"/>
  <c r="W8" i="3"/>
  <c r="V8" i="3"/>
  <c r="AF33" i="3" a="1"/>
  <c r="Z27" i="3" a="1"/>
  <c r="AA10" i="3" a="1"/>
  <c r="Z10" i="3" a="1"/>
  <c r="U33" i="7" a="1"/>
  <c r="Z9" i="3" a="1"/>
  <c r="AA9" i="3" a="1"/>
  <c r="O10" i="7" a="1"/>
  <c r="AF33" i="3" l="1"/>
  <c r="Z27" i="3"/>
  <c r="AA10" i="3"/>
  <c r="Z10" i="3"/>
  <c r="U33" i="7"/>
  <c r="O10" i="7"/>
  <c r="R9" i="7" s="1"/>
  <c r="AA9" i="3"/>
  <c r="Z9" i="3"/>
  <c r="AD8" i="3" s="1"/>
  <c r="O11" i="5"/>
  <c r="O16" i="5"/>
  <c r="O9" i="5"/>
  <c r="O29" i="5"/>
  <c r="O25" i="5"/>
  <c r="O17" i="5"/>
  <c r="O15" i="5"/>
  <c r="O10" i="5"/>
  <c r="O8" i="5"/>
  <c r="O33" i="5"/>
  <c r="O27" i="5"/>
  <c r="O26" i="5"/>
  <c r="O24" i="5"/>
  <c r="O22" i="5"/>
  <c r="O21" i="5"/>
  <c r="O20" i="5"/>
  <c r="O18" i="5"/>
  <c r="O47" i="5"/>
  <c r="O44" i="5"/>
  <c r="O40" i="5"/>
  <c r="O39" i="5"/>
  <c r="O38" i="5"/>
  <c r="O37" i="5"/>
  <c r="O28" i="5"/>
  <c r="O23" i="5"/>
  <c r="O19" i="5"/>
  <c r="O14" i="5"/>
  <c r="O13" i="5"/>
  <c r="O12" i="5"/>
  <c r="O49" i="5"/>
  <c r="O48" i="5"/>
  <c r="O43" i="5"/>
  <c r="O42" i="5"/>
  <c r="O41" i="5"/>
  <c r="O36" i="5"/>
  <c r="O35" i="5"/>
  <c r="O34" i="5"/>
  <c r="F59" i="3"/>
  <c r="F65" i="3" s="1"/>
  <c r="J6" i="3"/>
  <c r="J45" i="3"/>
  <c r="J41" i="3"/>
  <c r="J37" i="3"/>
  <c r="J33" i="3"/>
  <c r="J29" i="3"/>
  <c r="J25" i="3"/>
  <c r="J21" i="3"/>
  <c r="J17" i="3"/>
  <c r="J13" i="3"/>
  <c r="AI8" i="3"/>
  <c r="AJ7" i="3"/>
  <c r="I55" i="3"/>
  <c r="H46" i="7"/>
  <c r="H36" i="7"/>
  <c r="H26" i="7"/>
  <c r="H25" i="7"/>
  <c r="H43" i="7"/>
  <c r="H33" i="7"/>
  <c r="H23" i="7"/>
  <c r="H13" i="7"/>
  <c r="AJ7" i="7"/>
  <c r="H42" i="7"/>
  <c r="H32" i="7"/>
  <c r="H41" i="7"/>
  <c r="H31" i="7"/>
  <c r="H21" i="7"/>
  <c r="H11" i="7"/>
  <c r="H40" i="7"/>
  <c r="H30" i="7"/>
  <c r="H20" i="7"/>
  <c r="H10" i="7"/>
  <c r="H49" i="7"/>
  <c r="H39" i="7"/>
  <c r="H29" i="7"/>
  <c r="H19" i="7"/>
  <c r="H9" i="7"/>
  <c r="H48" i="7"/>
  <c r="H38" i="7"/>
  <c r="H28" i="7"/>
  <c r="H47" i="7"/>
  <c r="H37" i="7"/>
  <c r="H27" i="7"/>
  <c r="H17" i="7"/>
  <c r="H7" i="7"/>
  <c r="H16" i="7"/>
  <c r="H6" i="7"/>
  <c r="H15" i="7"/>
  <c r="H22" i="7"/>
  <c r="AI8" i="7"/>
  <c r="AI9" i="7" s="1"/>
  <c r="AI10" i="7" s="1"/>
  <c r="AI11" i="7" s="1"/>
  <c r="AI12" i="7" s="1"/>
  <c r="AI13" i="7" s="1"/>
  <c r="AI14" i="7" s="1"/>
  <c r="AL14" i="7" s="1"/>
  <c r="AJ6" i="7"/>
  <c r="H54" i="7"/>
  <c r="AL7" i="7"/>
  <c r="AK7" i="7"/>
  <c r="AK6" i="7"/>
  <c r="P49" i="6"/>
  <c r="P48" i="6"/>
  <c r="P47" i="6"/>
  <c r="P46" i="6"/>
  <c r="P45" i="6"/>
  <c r="P44" i="6"/>
  <c r="P43" i="6"/>
  <c r="P42" i="6"/>
  <c r="P41" i="6"/>
  <c r="P40" i="6"/>
  <c r="P39" i="6"/>
  <c r="P38" i="6"/>
  <c r="P9" i="6"/>
  <c r="P8" i="6"/>
  <c r="P7" i="6"/>
  <c r="Q7" i="6" s="1"/>
  <c r="Q8" i="6" s="1"/>
  <c r="Q9" i="6" s="1"/>
  <c r="P36" i="6"/>
  <c r="P35" i="6"/>
  <c r="P34" i="6"/>
  <c r="P33" i="6"/>
  <c r="P32" i="6"/>
  <c r="P31" i="6"/>
  <c r="P30" i="6"/>
  <c r="P29" i="6"/>
  <c r="P28" i="6"/>
  <c r="P27" i="6"/>
  <c r="P26" i="6"/>
  <c r="P25" i="6"/>
  <c r="P12" i="6"/>
  <c r="P10" i="6"/>
  <c r="P23" i="6"/>
  <c r="P22" i="6"/>
  <c r="P21" i="6"/>
  <c r="P20" i="6"/>
  <c r="P19" i="6"/>
  <c r="P18" i="6"/>
  <c r="P17" i="6"/>
  <c r="P16" i="6"/>
  <c r="P15" i="6"/>
  <c r="P14" i="6"/>
  <c r="P13" i="6"/>
  <c r="P11" i="6"/>
  <c r="O46" i="5"/>
  <c r="O45" i="5"/>
  <c r="O32" i="5"/>
  <c r="O31" i="5"/>
  <c r="P8" i="5"/>
  <c r="P9" i="5" s="1"/>
  <c r="P10" i="5" s="1"/>
  <c r="P11" i="5" s="1"/>
  <c r="P12" i="5" s="1"/>
  <c r="P13" i="5" s="1"/>
  <c r="P14" i="5" s="1"/>
  <c r="P15" i="5" s="1"/>
  <c r="P16" i="5" s="1"/>
  <c r="P17" i="5" s="1"/>
  <c r="P18" i="5" s="1"/>
  <c r="P19" i="5" s="1"/>
  <c r="P20" i="5" s="1"/>
  <c r="P21" i="5" s="1"/>
  <c r="P22" i="5" s="1"/>
  <c r="P23" i="5" s="1"/>
  <c r="P24" i="5" s="1"/>
  <c r="P25" i="5" s="1"/>
  <c r="P26" i="5" s="1"/>
  <c r="P27" i="5" s="1"/>
  <c r="P28" i="5" s="1"/>
  <c r="P29" i="5" s="1"/>
  <c r="P30" i="5" s="1"/>
  <c r="AJ8" i="3" l="1"/>
  <c r="AI9" i="3"/>
  <c r="AD9" i="3"/>
  <c r="F64" i="7"/>
  <c r="AJ9" i="7"/>
  <c r="AJ10" i="7"/>
  <c r="AL12" i="7"/>
  <c r="AK11" i="7"/>
  <c r="AJ8" i="7"/>
  <c r="AJ11" i="7"/>
  <c r="AL8" i="7"/>
  <c r="AL11" i="7"/>
  <c r="AK13" i="7"/>
  <c r="AL10" i="7"/>
  <c r="AK14" i="7"/>
  <c r="AK12" i="7"/>
  <c r="AJ12" i="7"/>
  <c r="AK10" i="7"/>
  <c r="AK9" i="7"/>
  <c r="AJ13" i="7"/>
  <c r="AL9" i="7"/>
  <c r="AL13" i="7"/>
  <c r="AI15" i="7"/>
  <c r="AJ14" i="7"/>
  <c r="Q10" i="6"/>
  <c r="Q11" i="6" s="1"/>
  <c r="Q12" i="6" s="1"/>
  <c r="Q13" i="6" s="1"/>
  <c r="Q14" i="6" s="1"/>
  <c r="Q15" i="6" s="1"/>
  <c r="Q16" i="6" s="1"/>
  <c r="Q17" i="6" s="1"/>
  <c r="Q18" i="6" s="1"/>
  <c r="Q19" i="6" s="1"/>
  <c r="Q20" i="6" s="1"/>
  <c r="Q21" i="6" s="1"/>
  <c r="Q22" i="6" s="1"/>
  <c r="Q23" i="6" s="1"/>
  <c r="Q24" i="6" s="1"/>
  <c r="Q25" i="6" s="1"/>
  <c r="Q26" i="6" s="1"/>
  <c r="Q27" i="6" s="1"/>
  <c r="Q28" i="6" s="1"/>
  <c r="Q29" i="6" s="1"/>
  <c r="Q30" i="6" s="1"/>
  <c r="Q31" i="6" s="1"/>
  <c r="Q32" i="6" s="1"/>
  <c r="Q33" i="6" s="1"/>
  <c r="Q34" i="6" s="1"/>
  <c r="Q35" i="6" s="1"/>
  <c r="Q36" i="6" s="1"/>
  <c r="Q37" i="6" s="1"/>
  <c r="Q38" i="6" s="1"/>
  <c r="Q39" i="6" s="1"/>
  <c r="Q40" i="6" s="1"/>
  <c r="Q41" i="6" s="1"/>
  <c r="Q42" i="6" s="1"/>
  <c r="Q43" i="6" s="1"/>
  <c r="Q44" i="6" s="1"/>
  <c r="Q45" i="6" s="1"/>
  <c r="Q46" i="6" s="1"/>
  <c r="Q47" i="6" s="1"/>
  <c r="Q48" i="6" s="1"/>
  <c r="Q49" i="6" s="1"/>
  <c r="P31" i="5"/>
  <c r="P32" i="5" s="1"/>
  <c r="P33" i="5" s="1"/>
  <c r="P34" i="5" s="1"/>
  <c r="P35" i="5" s="1"/>
  <c r="P36" i="5" s="1"/>
  <c r="P37" i="5" s="1"/>
  <c r="P38" i="5" s="1"/>
  <c r="P39" i="5" s="1"/>
  <c r="P40" i="5" s="1"/>
  <c r="P41" i="5" s="1"/>
  <c r="P42" i="5" s="1"/>
  <c r="P43" i="5" s="1"/>
  <c r="P44" i="5" s="1"/>
  <c r="P45" i="5" s="1"/>
  <c r="P46" i="5" s="1"/>
  <c r="P47" i="5" s="1"/>
  <c r="P48" i="5" s="1"/>
  <c r="P49" i="5" s="1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N7" i="3"/>
  <c r="M7" i="3"/>
  <c r="O7" i="3" s="1"/>
  <c r="L49" i="3"/>
  <c r="P49" i="3" s="1"/>
  <c r="L8" i="3"/>
  <c r="L9" i="3"/>
  <c r="P9" i="3" s="1"/>
  <c r="L10" i="3"/>
  <c r="L11" i="3"/>
  <c r="P11" i="3" s="1"/>
  <c r="L12" i="3"/>
  <c r="L13" i="3"/>
  <c r="P13" i="3" s="1"/>
  <c r="L14" i="3"/>
  <c r="L15" i="3"/>
  <c r="P15" i="3" s="1"/>
  <c r="L16" i="3"/>
  <c r="L17" i="3"/>
  <c r="P17" i="3" s="1"/>
  <c r="L18" i="3"/>
  <c r="P18" i="3" s="1"/>
  <c r="L19" i="3"/>
  <c r="P19" i="3" s="1"/>
  <c r="L20" i="3"/>
  <c r="L21" i="3"/>
  <c r="P21" i="3" s="1"/>
  <c r="L22" i="3"/>
  <c r="P22" i="3" s="1"/>
  <c r="L23" i="3"/>
  <c r="P23" i="3" s="1"/>
  <c r="L24" i="3"/>
  <c r="L25" i="3"/>
  <c r="P25" i="3" s="1"/>
  <c r="L26" i="3"/>
  <c r="L27" i="3"/>
  <c r="P27" i="3" s="1"/>
  <c r="L28" i="3"/>
  <c r="L29" i="3"/>
  <c r="P29" i="3" s="1"/>
  <c r="L30" i="3"/>
  <c r="L31" i="3"/>
  <c r="P31" i="3" s="1"/>
  <c r="L32" i="3"/>
  <c r="L33" i="3"/>
  <c r="P33" i="3" s="1"/>
  <c r="L34" i="3"/>
  <c r="P34" i="3" s="1"/>
  <c r="L35" i="3"/>
  <c r="P35" i="3" s="1"/>
  <c r="L36" i="3"/>
  <c r="L37" i="3"/>
  <c r="P37" i="3" s="1"/>
  <c r="L38" i="3"/>
  <c r="L39" i="3"/>
  <c r="P39" i="3" s="1"/>
  <c r="L40" i="3"/>
  <c r="L41" i="3"/>
  <c r="P41" i="3" s="1"/>
  <c r="L42" i="3"/>
  <c r="P42" i="3" s="1"/>
  <c r="L43" i="3"/>
  <c r="P43" i="3" s="1"/>
  <c r="L44" i="3"/>
  <c r="L45" i="3"/>
  <c r="P45" i="3" s="1"/>
  <c r="L46" i="3"/>
  <c r="L47" i="3"/>
  <c r="P47" i="3" s="1"/>
  <c r="L48" i="3"/>
  <c r="J27" i="6" a="1"/>
  <c r="L45" i="5" a="1"/>
  <c r="L48" i="5" a="1"/>
  <c r="I15" i="5" a="1"/>
  <c r="N39" i="6" a="1"/>
  <c r="N8" i="6" a="1"/>
  <c r="M21" i="6" a="1"/>
  <c r="M10" i="5" a="1"/>
  <c r="L24" i="6" a="1"/>
  <c r="L23" i="5" a="1"/>
  <c r="J21" i="6" a="1"/>
  <c r="N37" i="6" a="1"/>
  <c r="I14" i="6" a="1"/>
  <c r="I42" i="6" a="1"/>
  <c r="K47" i="5" a="1"/>
  <c r="J7" i="6" a="1"/>
  <c r="M11" i="6" a="1"/>
  <c r="J48" i="6" a="1"/>
  <c r="M9" i="6" a="1"/>
  <c r="J26" i="6" a="1"/>
  <c r="N25" i="6" a="1"/>
  <c r="I13" i="5" a="1"/>
  <c r="L27" i="5" a="1"/>
  <c r="M42" i="6" a="1"/>
  <c r="J31" i="6" a="1"/>
  <c r="I9" i="6" a="1"/>
  <c r="I23" i="6" a="1"/>
  <c r="K38" i="5" a="1"/>
  <c r="I19" i="6" a="1"/>
  <c r="K34" i="5" a="1"/>
  <c r="M19" i="5" a="1"/>
  <c r="K45" i="6" a="1"/>
  <c r="I9" i="5" a="1"/>
  <c r="I7" i="5" a="1"/>
  <c r="K28" i="6" a="1"/>
  <c r="L8" i="5" a="1"/>
  <c r="I10" i="5" a="1"/>
  <c r="I12" i="6" a="1"/>
  <c r="N7" i="6" a="1"/>
  <c r="N27" i="6" a="1"/>
  <c r="I21" i="5" a="1"/>
  <c r="L39" i="6" a="1"/>
  <c r="J30" i="6" a="1"/>
  <c r="K11" i="6" a="1"/>
  <c r="K40" i="6" a="1"/>
  <c r="I28" i="6" a="1"/>
  <c r="J35" i="6" a="1"/>
  <c r="I17" i="6" a="1"/>
  <c r="K16" i="5" a="1"/>
  <c r="L25" i="5" a="1"/>
  <c r="J13" i="6" a="1"/>
  <c r="I45" i="5" a="1"/>
  <c r="I27" i="6" a="1"/>
  <c r="L29" i="5" a="1"/>
  <c r="J40" i="6" a="1"/>
  <c r="I37" i="5" a="1"/>
  <c r="J18" i="6" a="1"/>
  <c r="M23" i="5" a="1"/>
  <c r="L13" i="5" a="1"/>
  <c r="K30" i="6" a="1"/>
  <c r="J43" i="6" a="1"/>
  <c r="I33" i="6" a="1"/>
  <c r="I32" i="5" a="1"/>
  <c r="M13" i="6" a="1"/>
  <c r="L37" i="6" a="1"/>
  <c r="I13" i="6" a="1"/>
  <c r="M11" i="5" a="1"/>
  <c r="K29" i="6" a="1"/>
  <c r="L10" i="5" a="1"/>
  <c r="I18" i="6" a="1"/>
  <c r="J10" i="6" a="1"/>
  <c r="L18" i="6" a="1"/>
  <c r="J37" i="6" a="1"/>
  <c r="I21" i="6" a="1"/>
  <c r="J15" i="6" a="1"/>
  <c r="N13" i="6" a="1"/>
  <c r="K11" i="5" a="1"/>
  <c r="K10" i="5" a="1"/>
  <c r="M24" i="5" a="1"/>
  <c r="N17" i="6" a="1"/>
  <c r="K31" i="5" a="1"/>
  <c r="K40" i="5" a="1"/>
  <c r="J20" i="6" a="1"/>
  <c r="L7" i="6" a="1"/>
  <c r="I41" i="6" a="1"/>
  <c r="J25" i="6" a="1"/>
  <c r="L41" i="5" a="1"/>
  <c r="J47" i="6" a="1"/>
  <c r="N41" i="6" a="1"/>
  <c r="L36" i="6" a="1"/>
  <c r="L15" i="6" a="1"/>
  <c r="K15" i="6" a="1"/>
  <c r="K8" i="6" a="1"/>
  <c r="Z11" i="3" a="1"/>
  <c r="L6" i="6" a="1"/>
  <c r="I30" i="5" a="1"/>
  <c r="K16" i="6" a="1"/>
  <c r="K19" i="5" a="1"/>
  <c r="I39" i="6" a="1"/>
  <c r="I8" i="5" a="1"/>
  <c r="J22" i="6" a="1"/>
  <c r="I22" i="6" a="1"/>
  <c r="K48" i="5" a="1"/>
  <c r="K6" i="6" a="1"/>
  <c r="L35" i="6" a="1"/>
  <c r="I29" i="6" a="1"/>
  <c r="N19" i="6" a="1"/>
  <c r="J46" i="6" a="1"/>
  <c r="I46" i="5" a="1"/>
  <c r="K36" i="6" a="1"/>
  <c r="I40" i="6" a="1"/>
  <c r="I48" i="5" a="1"/>
  <c r="J29" i="6" a="1"/>
  <c r="L16" i="5" a="1"/>
  <c r="K14" i="5" a="1"/>
  <c r="L34" i="5" a="1"/>
  <c r="K28" i="5" a="1"/>
  <c r="K7" i="6" a="1"/>
  <c r="L6" i="5" a="1"/>
  <c r="AA12" i="3" a="1"/>
  <c r="L32" i="6" a="1"/>
  <c r="M20" i="6" a="1"/>
  <c r="L49" i="5" a="1"/>
  <c r="I34" i="6" a="1"/>
  <c r="I49" i="6" a="1"/>
  <c r="N24" i="6" a="1"/>
  <c r="I24" i="6" a="1"/>
  <c r="M31" i="6" a="1"/>
  <c r="I15" i="6" a="1"/>
  <c r="N43" i="6" a="1"/>
  <c r="L21" i="6" a="1"/>
  <c r="M22" i="6" a="1"/>
  <c r="L28" i="5" a="1"/>
  <c r="L28" i="6" a="1"/>
  <c r="I48" i="6" a="1"/>
  <c r="K48" i="6" a="1"/>
  <c r="I47" i="6" a="1"/>
  <c r="K18" i="6" a="1"/>
  <c r="I47" i="5" a="1"/>
  <c r="I40" i="5" a="1"/>
  <c r="M47" i="5" a="1"/>
  <c r="M45" i="6" a="1"/>
  <c r="M33" i="5" a="1"/>
  <c r="M10" i="6" a="1"/>
  <c r="L47" i="5" a="1"/>
  <c r="I20" i="6" a="1"/>
  <c r="K12" i="6" a="1"/>
  <c r="I12" i="5" a="1"/>
  <c r="J33" i="6" a="1"/>
  <c r="K37" i="5" a="1"/>
  <c r="L41" i="6" a="1"/>
  <c r="M41" i="6" a="1"/>
  <c r="N14" i="6" a="1"/>
  <c r="M35" i="6" a="1"/>
  <c r="N12" i="6" a="1"/>
  <c r="M29" i="6" a="1"/>
  <c r="J36" i="6" a="1"/>
  <c r="K29" i="5" a="1"/>
  <c r="M44" i="6" a="1"/>
  <c r="L13" i="6" a="1"/>
  <c r="K33" i="6" a="1"/>
  <c r="L42" i="6" a="1"/>
  <c r="K27" i="6" a="1"/>
  <c r="K8" i="5" a="1"/>
  <c r="M6" i="6" a="1"/>
  <c r="M17" i="6" a="1"/>
  <c r="L47" i="6" a="1"/>
  <c r="L26" i="5" a="1"/>
  <c r="I36" i="6" a="1"/>
  <c r="K33" i="5" a="1"/>
  <c r="M32" i="6" a="1"/>
  <c r="L30" i="6" a="1"/>
  <c r="M32" i="5" a="1"/>
  <c r="I28" i="5" a="1"/>
  <c r="L8" i="6" a="1"/>
  <c r="K15" i="5" a="1"/>
  <c r="I31" i="6" a="1"/>
  <c r="N47" i="6" a="1"/>
  <c r="N16" i="6" a="1"/>
  <c r="K17" i="5" a="1"/>
  <c r="M38" i="5" a="1"/>
  <c r="Z8" i="3" a="1"/>
  <c r="L24" i="5" a="1"/>
  <c r="J38" i="6" a="1"/>
  <c r="L31" i="5" a="1"/>
  <c r="J16" i="6" a="1"/>
  <c r="I27" i="5" a="1"/>
  <c r="M48" i="5" a="1"/>
  <c r="M25" i="5" a="1"/>
  <c r="L40" i="6" a="1"/>
  <c r="M17" i="5" a="1"/>
  <c r="L34" i="6" a="1"/>
  <c r="L37" i="5" a="1"/>
  <c r="J32" i="6" a="1"/>
  <c r="N49" i="6" a="1"/>
  <c r="L19" i="5" a="1"/>
  <c r="J39" i="6" a="1"/>
  <c r="I25" i="6" a="1"/>
  <c r="M37" i="5" a="1"/>
  <c r="M36" i="5" a="1"/>
  <c r="K9" i="5" a="1"/>
  <c r="I35" i="6" a="1"/>
  <c r="J6" i="6" a="1"/>
  <c r="L18" i="5" a="1"/>
  <c r="L46" i="5" a="1"/>
  <c r="K35" i="5" a="1"/>
  <c r="M21" i="5" a="1"/>
  <c r="J42" i="6" a="1"/>
  <c r="J49" i="6" a="1"/>
  <c r="I45" i="6" a="1"/>
  <c r="Z12" i="3" a="1"/>
  <c r="K36" i="5" a="1"/>
  <c r="I16" i="6" a="1"/>
  <c r="K26" i="6" a="1"/>
  <c r="J23" i="6" a="1"/>
  <c r="I44" i="6" a="1"/>
  <c r="I6" i="5" a="1"/>
  <c r="J17" i="6" a="1"/>
  <c r="K41" i="5" a="1"/>
  <c r="K42" i="6" a="1"/>
  <c r="O9" i="7" a="1"/>
  <c r="M47" i="6" a="1"/>
  <c r="K22" i="6" a="1"/>
  <c r="I17" i="5" a="1"/>
  <c r="J19" i="6" a="1"/>
  <c r="K10" i="6" a="1"/>
  <c r="I44" i="5" a="1"/>
  <c r="K17" i="6" a="1"/>
  <c r="I49" i="5" a="1"/>
  <c r="K6" i="5" a="1"/>
  <c r="N28" i="6" a="1"/>
  <c r="N22" i="6" a="1"/>
  <c r="L17" i="6" a="1"/>
  <c r="K26" i="5" a="1"/>
  <c r="J9" i="6" a="1"/>
  <c r="N32" i="6" a="1"/>
  <c r="M29" i="5" a="1"/>
  <c r="N10" i="6" a="1"/>
  <c r="M25" i="6" a="1"/>
  <c r="L44" i="5" a="1"/>
  <c r="K47" i="6" a="1"/>
  <c r="N31" i="6" a="1"/>
  <c r="K35" i="6" a="1"/>
  <c r="N33" i="6" a="1"/>
  <c r="M49" i="6" a="1"/>
  <c r="N26" i="6" a="1"/>
  <c r="M13" i="5" a="1"/>
  <c r="K23" i="5" a="1"/>
  <c r="M23" i="6" a="1"/>
  <c r="M14" i="6" a="1"/>
  <c r="K12" i="5" a="1"/>
  <c r="L32" i="5" a="1"/>
  <c r="K23" i="6" a="1"/>
  <c r="M28" i="6" a="1"/>
  <c r="L22" i="6" a="1"/>
  <c r="M45" i="5" a="1"/>
  <c r="I43" i="5" a="1"/>
  <c r="L9" i="5" a="1"/>
  <c r="I20" i="5" a="1"/>
  <c r="N36" i="6" a="1"/>
  <c r="N9" i="6" a="1"/>
  <c r="M34" i="6" a="1"/>
  <c r="AA11" i="3" a="1"/>
  <c r="M30" i="6" a="1"/>
  <c r="L15" i="5" a="1"/>
  <c r="I11" i="5" a="1"/>
  <c r="M33" i="6" a="1"/>
  <c r="M15" i="5" a="1"/>
  <c r="K37" i="6" a="1"/>
  <c r="L25" i="6" a="1"/>
  <c r="I29" i="5" a="1"/>
  <c r="M7" i="6" a="1"/>
  <c r="L39" i="5" a="1"/>
  <c r="M18" i="6" a="1"/>
  <c r="M22" i="5" a="1"/>
  <c r="M43" i="5" a="1"/>
  <c r="M36" i="6" a="1"/>
  <c r="L38" i="6" a="1"/>
  <c r="L19" i="6" a="1"/>
  <c r="L11" i="6" a="1"/>
  <c r="K13" i="6" a="1"/>
  <c r="N40" i="6" a="1"/>
  <c r="L12" i="6" a="1"/>
  <c r="L29" i="6" a="1"/>
  <c r="L17" i="5" a="1"/>
  <c r="J44" i="6" a="1"/>
  <c r="L14" i="5" a="1"/>
  <c r="M38" i="6" a="1"/>
  <c r="M16" i="5" a="1"/>
  <c r="L35" i="5" a="1"/>
  <c r="O7" i="7" a="1"/>
  <c r="M37" i="6" a="1"/>
  <c r="M34" i="5" a="1"/>
  <c r="J45" i="6" a="1"/>
  <c r="I37" i="6" a="1"/>
  <c r="I36" i="5" a="1"/>
  <c r="N48" i="6" a="1"/>
  <c r="L44" i="6" a="1"/>
  <c r="L11" i="5" a="1"/>
  <c r="N15" i="6" a="1"/>
  <c r="K9" i="6" a="1"/>
  <c r="I46" i="6" a="1"/>
  <c r="L45" i="6" a="1"/>
  <c r="K24" i="6" a="1"/>
  <c r="K44" i="6" a="1"/>
  <c r="M40" i="5" a="1"/>
  <c r="M14" i="5" a="1"/>
  <c r="M15" i="6" a="1"/>
  <c r="N42" i="6" a="1"/>
  <c r="L20" i="6" a="1"/>
  <c r="N20" i="6" a="1"/>
  <c r="K27" i="5" a="1"/>
  <c r="M27" i="6" a="1"/>
  <c r="K32" i="5" a="1"/>
  <c r="J24" i="6" a="1"/>
  <c r="M43" i="6" a="1"/>
  <c r="M42" i="5" a="1"/>
  <c r="M16" i="6" a="1"/>
  <c r="L42" i="5" a="1"/>
  <c r="M12" i="6" a="1"/>
  <c r="I26" i="6" a="1"/>
  <c r="N30" i="6" a="1"/>
  <c r="I38" i="6" a="1"/>
  <c r="N45" i="6" a="1"/>
  <c r="L10" i="6" a="1"/>
  <c r="L33" i="6" a="1"/>
  <c r="N21" i="6" a="1"/>
  <c r="L7" i="5" a="1"/>
  <c r="I41" i="5" a="1"/>
  <c r="M44" i="5" a="1"/>
  <c r="N34" i="6" a="1"/>
  <c r="M19" i="6" a="1"/>
  <c r="J12" i="6" a="1"/>
  <c r="N29" i="6" a="1"/>
  <c r="K39" i="5" a="1"/>
  <c r="N38" i="6" a="1"/>
  <c r="L20" i="5" a="1"/>
  <c r="L16" i="6" a="1"/>
  <c r="I7" i="6" a="1"/>
  <c r="I34" i="5" a="1"/>
  <c r="L22" i="5" a="1"/>
  <c r="M26" i="6" a="1"/>
  <c r="L33" i="5" a="1"/>
  <c r="I11" i="6" a="1"/>
  <c r="N35" i="6" a="1"/>
  <c r="L9" i="6" a="1"/>
  <c r="K24" i="5" a="1"/>
  <c r="K20" i="5" a="1"/>
  <c r="I39" i="5" a="1"/>
  <c r="K22" i="5" a="1"/>
  <c r="I24" i="5" a="1"/>
  <c r="K7" i="5" a="1"/>
  <c r="L36" i="5" a="1"/>
  <c r="K31" i="6" a="1"/>
  <c r="K13" i="5" a="1"/>
  <c r="K43" i="5" a="1"/>
  <c r="N11" i="6" a="1"/>
  <c r="I25" i="5" a="1"/>
  <c r="M49" i="5" a="1"/>
  <c r="K32" i="6" a="1"/>
  <c r="M6" i="5" a="1"/>
  <c r="N18" i="6" a="1"/>
  <c r="M26" i="5" a="1"/>
  <c r="M31" i="5" a="1"/>
  <c r="I23" i="5" a="1"/>
  <c r="M48" i="6" a="1"/>
  <c r="I30" i="6" a="1"/>
  <c r="K41" i="6" a="1"/>
  <c r="I42" i="5" a="1"/>
  <c r="I31" i="5" a="1"/>
  <c r="N23" i="6" a="1"/>
  <c r="I26" i="5" a="1"/>
  <c r="K19" i="6" a="1"/>
  <c r="J11" i="6" a="1"/>
  <c r="O8" i="7" a="1"/>
  <c r="M30" i="5" a="1"/>
  <c r="K14" i="6" a="1"/>
  <c r="L46" i="6" a="1"/>
  <c r="M41" i="5" a="1"/>
  <c r="M46" i="6" a="1"/>
  <c r="K49" i="5" a="1"/>
  <c r="L43" i="6" a="1"/>
  <c r="L31" i="6" a="1"/>
  <c r="M28" i="5" a="1"/>
  <c r="O11" i="7" a="1"/>
  <c r="K45" i="5" a="1"/>
  <c r="M39" i="6" a="1"/>
  <c r="L49" i="6" a="1"/>
  <c r="L14" i="6" a="1"/>
  <c r="J34" i="6" a="1"/>
  <c r="I18" i="5" a="1"/>
  <c r="J28" i="6" a="1"/>
  <c r="M39" i="5" a="1"/>
  <c r="L48" i="6" a="1"/>
  <c r="K25" i="6" a="1"/>
  <c r="L26" i="6" a="1"/>
  <c r="K34" i="6" a="1"/>
  <c r="M24" i="6" a="1"/>
  <c r="K21" i="5" a="1"/>
  <c r="I16" i="5" a="1"/>
  <c r="L40" i="5" a="1"/>
  <c r="L12" i="5" a="1"/>
  <c r="M27" i="5" a="1"/>
  <c r="J14" i="6" a="1"/>
  <c r="M35" i="5" a="1"/>
  <c r="M46" i="5" a="1"/>
  <c r="K49" i="6" a="1"/>
  <c r="I38" i="5" a="1"/>
  <c r="AA8" i="3" a="1"/>
  <c r="I35" i="5" a="1"/>
  <c r="K39" i="6" a="1"/>
  <c r="K46" i="5" a="1"/>
  <c r="I6" i="6" a="1"/>
  <c r="I10" i="6" a="1"/>
  <c r="L21" i="5" a="1"/>
  <c r="M8" i="6" a="1"/>
  <c r="I19" i="5" a="1"/>
  <c r="M40" i="6" a="1"/>
  <c r="N44" i="6" a="1"/>
  <c r="L27" i="6" a="1"/>
  <c r="I33" i="5" a="1"/>
  <c r="K38" i="6" a="1"/>
  <c r="K30" i="5" a="1"/>
  <c r="K18" i="5" a="1"/>
  <c r="K42" i="5" a="1"/>
  <c r="K44" i="5" a="1"/>
  <c r="L38" i="5" a="1"/>
  <c r="I43" i="6" a="1"/>
  <c r="K21" i="6" a="1"/>
  <c r="L30" i="5" a="1"/>
  <c r="K46" i="6" a="1"/>
  <c r="M12" i="5" a="1"/>
  <c r="M9" i="5" a="1"/>
  <c r="I22" i="5" a="1"/>
  <c r="M20" i="5" a="1"/>
  <c r="L23" i="6" a="1"/>
  <c r="K20" i="6" a="1"/>
  <c r="M18" i="5" a="1"/>
  <c r="K25" i="5" a="1"/>
  <c r="M7" i="5" a="1"/>
  <c r="I14" i="5" a="1"/>
  <c r="M8" i="5" a="1"/>
  <c r="I8" i="6" a="1"/>
  <c r="J8" i="6" a="1"/>
  <c r="L43" i="5" a="1"/>
  <c r="N46" i="6" a="1"/>
  <c r="K43" i="6" a="1"/>
  <c r="J41" i="6" a="1"/>
  <c r="I32" i="6" a="1"/>
  <c r="I32" i="6" l="1"/>
  <c r="J41" i="6"/>
  <c r="K43" i="6"/>
  <c r="V44" i="6" s="1"/>
  <c r="N46" i="6"/>
  <c r="L43" i="5"/>
  <c r="J8" i="6"/>
  <c r="I8" i="6"/>
  <c r="X9" i="6" s="1"/>
  <c r="M8" i="5"/>
  <c r="V9" i="5" s="1"/>
  <c r="I14" i="5"/>
  <c r="J14" i="5" s="1"/>
  <c r="T15" i="5" s="1"/>
  <c r="M7" i="5"/>
  <c r="V8" i="5" s="1"/>
  <c r="K25" i="5"/>
  <c r="M18" i="5"/>
  <c r="V19" i="5" s="1"/>
  <c r="K20" i="6"/>
  <c r="V21" i="6" s="1"/>
  <c r="L23" i="6"/>
  <c r="M20" i="5"/>
  <c r="V21" i="5" s="1"/>
  <c r="I22" i="5"/>
  <c r="J22" i="5" s="1"/>
  <c r="T23" i="5" s="1"/>
  <c r="M9" i="5"/>
  <c r="V10" i="5" s="1"/>
  <c r="M12" i="5"/>
  <c r="V13" i="5" s="1"/>
  <c r="K46" i="6"/>
  <c r="V47" i="6" s="1"/>
  <c r="L30" i="5"/>
  <c r="K21" i="6"/>
  <c r="V22" i="6" s="1"/>
  <c r="I43" i="6"/>
  <c r="L38" i="5"/>
  <c r="K44" i="5"/>
  <c r="U45" i="5" s="1"/>
  <c r="K42" i="5"/>
  <c r="K18" i="5"/>
  <c r="K30" i="5"/>
  <c r="K38" i="6"/>
  <c r="V39" i="6" s="1"/>
  <c r="I33" i="5"/>
  <c r="J33" i="5" s="1"/>
  <c r="T34" i="5" s="1"/>
  <c r="L27" i="6"/>
  <c r="N44" i="6"/>
  <c r="M40" i="6"/>
  <c r="I19" i="5"/>
  <c r="J19" i="5" s="1"/>
  <c r="T20" i="5" s="1"/>
  <c r="M8" i="6"/>
  <c r="L21" i="5"/>
  <c r="I10" i="6"/>
  <c r="X11" i="6" s="1"/>
  <c r="I6" i="6"/>
  <c r="K46" i="5"/>
  <c r="K39" i="6"/>
  <c r="V40" i="6" s="1"/>
  <c r="I35" i="5"/>
  <c r="J35" i="5" s="1"/>
  <c r="T36" i="5" s="1"/>
  <c r="AA8" i="3"/>
  <c r="I38" i="5"/>
  <c r="J38" i="5" s="1"/>
  <c r="T39" i="5" s="1"/>
  <c r="K49" i="6"/>
  <c r="M46" i="5"/>
  <c r="V47" i="5" s="1"/>
  <c r="M35" i="5"/>
  <c r="V36" i="5" s="1"/>
  <c r="J14" i="6"/>
  <c r="M27" i="5"/>
  <c r="V28" i="5" s="1"/>
  <c r="L12" i="5"/>
  <c r="L40" i="5"/>
  <c r="I16" i="5"/>
  <c r="J16" i="5" s="1"/>
  <c r="T17" i="5" s="1"/>
  <c r="K21" i="5"/>
  <c r="U22" i="5" s="1"/>
  <c r="M24" i="6"/>
  <c r="K34" i="6"/>
  <c r="V35" i="6" s="1"/>
  <c r="L26" i="6"/>
  <c r="K25" i="6"/>
  <c r="V26" i="6" s="1"/>
  <c r="L48" i="6"/>
  <c r="M39" i="5"/>
  <c r="V40" i="5" s="1"/>
  <c r="J28" i="6"/>
  <c r="I18" i="5"/>
  <c r="J18" i="5" s="1"/>
  <c r="T19" i="5" s="1"/>
  <c r="J34" i="6"/>
  <c r="L14" i="6"/>
  <c r="L49" i="6"/>
  <c r="M39" i="6"/>
  <c r="K45" i="5"/>
  <c r="U46" i="5" s="1"/>
  <c r="W46" i="5" s="1"/>
  <c r="O11" i="7"/>
  <c r="R10" i="7" s="1"/>
  <c r="M28" i="5"/>
  <c r="V29" i="5" s="1"/>
  <c r="L31" i="6"/>
  <c r="L43" i="6"/>
  <c r="W44" i="6" s="1"/>
  <c r="K49" i="5"/>
  <c r="M46" i="6"/>
  <c r="M41" i="5"/>
  <c r="V42" i="5" s="1"/>
  <c r="L46" i="6"/>
  <c r="W47" i="6" s="1"/>
  <c r="K14" i="6"/>
  <c r="V15" i="6" s="1"/>
  <c r="M30" i="5"/>
  <c r="V31" i="5" s="1"/>
  <c r="O8" i="7"/>
  <c r="R7" i="7" s="1"/>
  <c r="J11" i="6"/>
  <c r="X12" i="6" s="1"/>
  <c r="K19" i="6"/>
  <c r="V20" i="6" s="1"/>
  <c r="I26" i="5"/>
  <c r="J26" i="5" s="1"/>
  <c r="T27" i="5" s="1"/>
  <c r="N23" i="6"/>
  <c r="I31" i="5"/>
  <c r="J31" i="5" s="1"/>
  <c r="T32" i="5" s="1"/>
  <c r="I42" i="5"/>
  <c r="J42" i="5" s="1"/>
  <c r="T43" i="5" s="1"/>
  <c r="K41" i="6"/>
  <c r="V42" i="6" s="1"/>
  <c r="I30" i="6"/>
  <c r="M48" i="6"/>
  <c r="I23" i="5"/>
  <c r="J23" i="5" s="1"/>
  <c r="T24" i="5" s="1"/>
  <c r="M31" i="5"/>
  <c r="V32" i="5" s="1"/>
  <c r="M26" i="5"/>
  <c r="V27" i="5" s="1"/>
  <c r="N18" i="6"/>
  <c r="M6" i="5"/>
  <c r="V7" i="5" s="1"/>
  <c r="K32" i="6"/>
  <c r="V33" i="6" s="1"/>
  <c r="M49" i="5"/>
  <c r="I25" i="5"/>
  <c r="J25" i="5" s="1"/>
  <c r="T26" i="5" s="1"/>
  <c r="N11" i="6"/>
  <c r="K43" i="5"/>
  <c r="U44" i="5" s="1"/>
  <c r="K13" i="5"/>
  <c r="K31" i="6"/>
  <c r="V32" i="6" s="1"/>
  <c r="L36" i="5"/>
  <c r="K7" i="5"/>
  <c r="I24" i="5"/>
  <c r="J24" i="5" s="1"/>
  <c r="T25" i="5" s="1"/>
  <c r="K22" i="5"/>
  <c r="U23" i="5" s="1"/>
  <c r="W23" i="5" s="1"/>
  <c r="I39" i="5"/>
  <c r="J39" i="5" s="1"/>
  <c r="T40" i="5" s="1"/>
  <c r="K20" i="5"/>
  <c r="K24" i="5"/>
  <c r="L9" i="6"/>
  <c r="N35" i="6"/>
  <c r="I11" i="6"/>
  <c r="L33" i="5"/>
  <c r="M26" i="6"/>
  <c r="L22" i="5"/>
  <c r="I34" i="5"/>
  <c r="J34" i="5" s="1"/>
  <c r="T35" i="5" s="1"/>
  <c r="I7" i="6"/>
  <c r="L16" i="6"/>
  <c r="L20" i="5"/>
  <c r="N38" i="6"/>
  <c r="K39" i="5"/>
  <c r="N29" i="6"/>
  <c r="J12" i="6"/>
  <c r="M19" i="6"/>
  <c r="N34" i="6"/>
  <c r="M44" i="5"/>
  <c r="V45" i="5" s="1"/>
  <c r="I41" i="5"/>
  <c r="J41" i="5" s="1"/>
  <c r="T42" i="5" s="1"/>
  <c r="L7" i="5"/>
  <c r="N21" i="6"/>
  <c r="L33" i="6"/>
  <c r="L10" i="6"/>
  <c r="N45" i="6"/>
  <c r="I38" i="6"/>
  <c r="N30" i="6"/>
  <c r="I26" i="6"/>
  <c r="M12" i="6"/>
  <c r="L42" i="5"/>
  <c r="M16" i="6"/>
  <c r="M42" i="5"/>
  <c r="V43" i="5" s="1"/>
  <c r="M43" i="6"/>
  <c r="J24" i="6"/>
  <c r="K32" i="5"/>
  <c r="U33" i="5" s="1"/>
  <c r="W33" i="5" s="1"/>
  <c r="M27" i="6"/>
  <c r="K27" i="5"/>
  <c r="N20" i="6"/>
  <c r="L20" i="6"/>
  <c r="N42" i="6"/>
  <c r="M15" i="6"/>
  <c r="M14" i="5"/>
  <c r="V15" i="5" s="1"/>
  <c r="M40" i="5"/>
  <c r="V41" i="5" s="1"/>
  <c r="K44" i="6"/>
  <c r="V45" i="6" s="1"/>
  <c r="K24" i="6"/>
  <c r="V25" i="6" s="1"/>
  <c r="L45" i="6"/>
  <c r="I46" i="6"/>
  <c r="X47" i="6" s="1"/>
  <c r="Y47" i="6" s="1"/>
  <c r="K9" i="6"/>
  <c r="V10" i="6" s="1"/>
  <c r="N15" i="6"/>
  <c r="L11" i="5"/>
  <c r="L44" i="6"/>
  <c r="N48" i="6"/>
  <c r="I36" i="5"/>
  <c r="J36" i="5" s="1"/>
  <c r="T37" i="5" s="1"/>
  <c r="I37" i="6"/>
  <c r="J45" i="6"/>
  <c r="M34" i="5"/>
  <c r="V35" i="5" s="1"/>
  <c r="M37" i="6"/>
  <c r="O7" i="7"/>
  <c r="L35" i="5"/>
  <c r="M16" i="5"/>
  <c r="V17" i="5" s="1"/>
  <c r="M38" i="6"/>
  <c r="L14" i="5"/>
  <c r="J44" i="6"/>
  <c r="X45" i="6" s="1"/>
  <c r="L17" i="5"/>
  <c r="L29" i="6"/>
  <c r="L12" i="6"/>
  <c r="W13" i="6" s="1"/>
  <c r="N40" i="6"/>
  <c r="K13" i="6"/>
  <c r="V14" i="6" s="1"/>
  <c r="L11" i="6"/>
  <c r="L19" i="6"/>
  <c r="W20" i="6" s="1"/>
  <c r="L38" i="6"/>
  <c r="W39" i="6" s="1"/>
  <c r="M36" i="6"/>
  <c r="M43" i="5"/>
  <c r="V44" i="5" s="1"/>
  <c r="M22" i="5"/>
  <c r="V23" i="5" s="1"/>
  <c r="M18" i="6"/>
  <c r="L39" i="5"/>
  <c r="M7" i="6"/>
  <c r="I29" i="5"/>
  <c r="J29" i="5" s="1"/>
  <c r="T30" i="5" s="1"/>
  <c r="L25" i="6"/>
  <c r="W26" i="6" s="1"/>
  <c r="Y26" i="6" s="1"/>
  <c r="K37" i="6"/>
  <c r="V38" i="6" s="1"/>
  <c r="M15" i="5"/>
  <c r="V16" i="5" s="1"/>
  <c r="M33" i="6"/>
  <c r="I11" i="5"/>
  <c r="J11" i="5" s="1"/>
  <c r="T12" i="5" s="1"/>
  <c r="L15" i="5"/>
  <c r="M30" i="6"/>
  <c r="AA11" i="3"/>
  <c r="M34" i="6"/>
  <c r="N9" i="6"/>
  <c r="N36" i="6"/>
  <c r="I20" i="5"/>
  <c r="J20" i="5" s="1"/>
  <c r="T21" i="5" s="1"/>
  <c r="L9" i="5"/>
  <c r="I43" i="5"/>
  <c r="J43" i="5" s="1"/>
  <c r="T44" i="5" s="1"/>
  <c r="M45" i="5"/>
  <c r="V46" i="5" s="1"/>
  <c r="L22" i="6"/>
  <c r="M28" i="6"/>
  <c r="K23" i="6"/>
  <c r="V24" i="6" s="1"/>
  <c r="L32" i="5"/>
  <c r="K12" i="5"/>
  <c r="M14" i="6"/>
  <c r="M23" i="6"/>
  <c r="W24" i="6" s="1"/>
  <c r="K23" i="5"/>
  <c r="M13" i="5"/>
  <c r="V14" i="5" s="1"/>
  <c r="N26" i="6"/>
  <c r="M49" i="6"/>
  <c r="N33" i="6"/>
  <c r="K35" i="6"/>
  <c r="V36" i="6" s="1"/>
  <c r="N31" i="6"/>
  <c r="K47" i="6"/>
  <c r="V48" i="6" s="1"/>
  <c r="L44" i="5"/>
  <c r="M25" i="6"/>
  <c r="N10" i="6"/>
  <c r="M29" i="5"/>
  <c r="V30" i="5" s="1"/>
  <c r="N32" i="6"/>
  <c r="J9" i="6"/>
  <c r="K26" i="5"/>
  <c r="U27" i="5" s="1"/>
  <c r="W27" i="5" s="1"/>
  <c r="L17" i="6"/>
  <c r="N22" i="6"/>
  <c r="N28" i="6"/>
  <c r="K6" i="5"/>
  <c r="U7" i="5" s="1"/>
  <c r="Y7" i="5" s="1"/>
  <c r="I49" i="5"/>
  <c r="J49" i="5" s="1"/>
  <c r="K17" i="6"/>
  <c r="V18" i="6" s="1"/>
  <c r="I44" i="5"/>
  <c r="J44" i="5" s="1"/>
  <c r="T45" i="5" s="1"/>
  <c r="K10" i="6"/>
  <c r="V11" i="6" s="1"/>
  <c r="J19" i="6"/>
  <c r="I17" i="5"/>
  <c r="J17" i="5" s="1"/>
  <c r="T18" i="5" s="1"/>
  <c r="K22" i="6"/>
  <c r="V23" i="6" s="1"/>
  <c r="M47" i="6"/>
  <c r="O9" i="7"/>
  <c r="R8" i="7" s="1"/>
  <c r="K42" i="6"/>
  <c r="V43" i="6" s="1"/>
  <c r="K41" i="5"/>
  <c r="J17" i="6"/>
  <c r="I6" i="5"/>
  <c r="J6" i="5" s="1"/>
  <c r="T7" i="5" s="1"/>
  <c r="X7" i="5" s="1"/>
  <c r="I44" i="6"/>
  <c r="J23" i="6"/>
  <c r="K26" i="6"/>
  <c r="V27" i="6" s="1"/>
  <c r="I16" i="6"/>
  <c r="K36" i="5"/>
  <c r="U37" i="5" s="1"/>
  <c r="Z12" i="3"/>
  <c r="I45" i="6"/>
  <c r="J49" i="6"/>
  <c r="J42" i="6"/>
  <c r="M21" i="5"/>
  <c r="V22" i="5" s="1"/>
  <c r="K35" i="5"/>
  <c r="U36" i="5" s="1"/>
  <c r="W36" i="5" s="1"/>
  <c r="L46" i="5"/>
  <c r="L18" i="5"/>
  <c r="J6" i="6"/>
  <c r="I35" i="6"/>
  <c r="K9" i="5"/>
  <c r="M36" i="5"/>
  <c r="V37" i="5" s="1"/>
  <c r="M37" i="5"/>
  <c r="V38" i="5" s="1"/>
  <c r="I25" i="6"/>
  <c r="J39" i="6"/>
  <c r="L19" i="5"/>
  <c r="N49" i="6"/>
  <c r="J32" i="6"/>
  <c r="L37" i="5"/>
  <c r="L34" i="6"/>
  <c r="M17" i="5"/>
  <c r="V18" i="5" s="1"/>
  <c r="L40" i="6"/>
  <c r="W41" i="6" s="1"/>
  <c r="M25" i="5"/>
  <c r="V26" i="5" s="1"/>
  <c r="M48" i="5"/>
  <c r="V49" i="5" s="1"/>
  <c r="I27" i="5"/>
  <c r="J27" i="5" s="1"/>
  <c r="T28" i="5" s="1"/>
  <c r="J16" i="6"/>
  <c r="L31" i="5"/>
  <c r="J38" i="6"/>
  <c r="L24" i="5"/>
  <c r="Z8" i="3"/>
  <c r="M38" i="5"/>
  <c r="V39" i="5" s="1"/>
  <c r="K17" i="5"/>
  <c r="U18" i="5" s="1"/>
  <c r="W18" i="5" s="1"/>
  <c r="N16" i="6"/>
  <c r="N47" i="6"/>
  <c r="I31" i="6"/>
  <c r="K15" i="5"/>
  <c r="U16" i="5" s="1"/>
  <c r="L8" i="6"/>
  <c r="W9" i="6" s="1"/>
  <c r="I28" i="5"/>
  <c r="J28" i="5" s="1"/>
  <c r="T29" i="5" s="1"/>
  <c r="M32" i="5"/>
  <c r="V33" i="5" s="1"/>
  <c r="L30" i="6"/>
  <c r="W31" i="6" s="1"/>
  <c r="M32" i="6"/>
  <c r="K33" i="5"/>
  <c r="U34" i="5" s="1"/>
  <c r="W34" i="5" s="1"/>
  <c r="I36" i="6"/>
  <c r="L26" i="5"/>
  <c r="L47" i="6"/>
  <c r="M17" i="6"/>
  <c r="M6" i="6"/>
  <c r="K8" i="5"/>
  <c r="K27" i="6"/>
  <c r="V28" i="6" s="1"/>
  <c r="L42" i="6"/>
  <c r="K33" i="6"/>
  <c r="V34" i="6" s="1"/>
  <c r="L13" i="6"/>
  <c r="M44" i="6"/>
  <c r="K29" i="5"/>
  <c r="U30" i="5" s="1"/>
  <c r="W30" i="5" s="1"/>
  <c r="J36" i="6"/>
  <c r="M29" i="6"/>
  <c r="N12" i="6"/>
  <c r="M35" i="6"/>
  <c r="N14" i="6"/>
  <c r="M41" i="6"/>
  <c r="L41" i="6"/>
  <c r="K37" i="5"/>
  <c r="U38" i="5" s="1"/>
  <c r="W38" i="5" s="1"/>
  <c r="J33" i="6"/>
  <c r="I12" i="5"/>
  <c r="J12" i="5" s="1"/>
  <c r="T13" i="5" s="1"/>
  <c r="K12" i="6"/>
  <c r="V13" i="6" s="1"/>
  <c r="I20" i="6"/>
  <c r="X21" i="6" s="1"/>
  <c r="L47" i="5"/>
  <c r="M10" i="6"/>
  <c r="M33" i="5"/>
  <c r="V34" i="5" s="1"/>
  <c r="M45" i="6"/>
  <c r="W46" i="6" s="1"/>
  <c r="M47" i="5"/>
  <c r="V48" i="5" s="1"/>
  <c r="I40" i="5"/>
  <c r="J40" i="5" s="1"/>
  <c r="T41" i="5" s="1"/>
  <c r="I47" i="5"/>
  <c r="J47" i="5" s="1"/>
  <c r="T48" i="5" s="1"/>
  <c r="K18" i="6"/>
  <c r="V19" i="6" s="1"/>
  <c r="I47" i="6"/>
  <c r="K48" i="6"/>
  <c r="V49" i="6" s="1"/>
  <c r="I48" i="6"/>
  <c r="L28" i="6"/>
  <c r="W29" i="6" s="1"/>
  <c r="L28" i="5"/>
  <c r="M22" i="6"/>
  <c r="L21" i="6"/>
  <c r="N43" i="6"/>
  <c r="I15" i="6"/>
  <c r="M31" i="6"/>
  <c r="I24" i="6"/>
  <c r="N24" i="6"/>
  <c r="I49" i="6"/>
  <c r="I34" i="6"/>
  <c r="L49" i="5"/>
  <c r="M20" i="6"/>
  <c r="L32" i="6"/>
  <c r="W33" i="6" s="1"/>
  <c r="AA12" i="3"/>
  <c r="L6" i="5"/>
  <c r="K7" i="6"/>
  <c r="V8" i="6" s="1"/>
  <c r="Y8" i="6" s="1"/>
  <c r="K28" i="5"/>
  <c r="U29" i="5" s="1"/>
  <c r="L34" i="5"/>
  <c r="K14" i="5"/>
  <c r="U15" i="5" s="1"/>
  <c r="W15" i="5" s="1"/>
  <c r="L16" i="5"/>
  <c r="J29" i="6"/>
  <c r="I48" i="5"/>
  <c r="J48" i="5" s="1"/>
  <c r="T49" i="5" s="1"/>
  <c r="I40" i="6"/>
  <c r="K36" i="6"/>
  <c r="V37" i="6" s="1"/>
  <c r="I46" i="5"/>
  <c r="J46" i="5" s="1"/>
  <c r="T47" i="5" s="1"/>
  <c r="J46" i="6"/>
  <c r="N19" i="6"/>
  <c r="I29" i="6"/>
  <c r="L35" i="6"/>
  <c r="K6" i="6"/>
  <c r="V7" i="6" s="1"/>
  <c r="K48" i="5"/>
  <c r="I22" i="6"/>
  <c r="X23" i="6" s="1"/>
  <c r="J22" i="6"/>
  <c r="I8" i="5"/>
  <c r="J8" i="5" s="1"/>
  <c r="T9" i="5" s="1"/>
  <c r="I39" i="6"/>
  <c r="K19" i="5"/>
  <c r="U20" i="5" s="1"/>
  <c r="W20" i="5" s="1"/>
  <c r="K16" i="6"/>
  <c r="V17" i="6" s="1"/>
  <c r="I30" i="5"/>
  <c r="J30" i="5" s="1"/>
  <c r="T31" i="5" s="1"/>
  <c r="L6" i="6"/>
  <c r="W7" i="6" s="1"/>
  <c r="AA7" i="6" s="1"/>
  <c r="Z11" i="3"/>
  <c r="AD10" i="3" s="1"/>
  <c r="K8" i="6"/>
  <c r="V9" i="6" s="1"/>
  <c r="Y9" i="6" s="1"/>
  <c r="K15" i="6"/>
  <c r="V16" i="6" s="1"/>
  <c r="L15" i="6"/>
  <c r="L36" i="6"/>
  <c r="W37" i="6" s="1"/>
  <c r="N41" i="6"/>
  <c r="J47" i="6"/>
  <c r="L41" i="5"/>
  <c r="J25" i="6"/>
  <c r="I41" i="6"/>
  <c r="L7" i="6"/>
  <c r="W8" i="6" s="1"/>
  <c r="J20" i="6"/>
  <c r="K40" i="5"/>
  <c r="U41" i="5" s="1"/>
  <c r="K31" i="5"/>
  <c r="U32" i="5" s="1"/>
  <c r="N17" i="6"/>
  <c r="M24" i="5"/>
  <c r="V25" i="5" s="1"/>
  <c r="K10" i="5"/>
  <c r="U11" i="5" s="1"/>
  <c r="W11" i="5" s="1"/>
  <c r="K11" i="5"/>
  <c r="N13" i="6"/>
  <c r="J15" i="6"/>
  <c r="I21" i="6"/>
  <c r="J37" i="6"/>
  <c r="L18" i="6"/>
  <c r="J10" i="6"/>
  <c r="I18" i="6"/>
  <c r="X19" i="6" s="1"/>
  <c r="L10" i="5"/>
  <c r="K29" i="6"/>
  <c r="V30" i="6" s="1"/>
  <c r="M11" i="5"/>
  <c r="V12" i="5" s="1"/>
  <c r="I13" i="6"/>
  <c r="L37" i="6"/>
  <c r="W38" i="6" s="1"/>
  <c r="M13" i="6"/>
  <c r="I32" i="5"/>
  <c r="J32" i="5" s="1"/>
  <c r="T33" i="5" s="1"/>
  <c r="I33" i="6"/>
  <c r="X34" i="6" s="1"/>
  <c r="J43" i="6"/>
  <c r="K30" i="6"/>
  <c r="V31" i="6" s="1"/>
  <c r="L13" i="5"/>
  <c r="M23" i="5"/>
  <c r="V24" i="5" s="1"/>
  <c r="J18" i="6"/>
  <c r="I37" i="5"/>
  <c r="J37" i="5" s="1"/>
  <c r="T38" i="5" s="1"/>
  <c r="J40" i="6"/>
  <c r="X41" i="6" s="1"/>
  <c r="L29" i="5"/>
  <c r="I27" i="6"/>
  <c r="I45" i="5"/>
  <c r="J45" i="5" s="1"/>
  <c r="T46" i="5" s="1"/>
  <c r="J13" i="6"/>
  <c r="L25" i="5"/>
  <c r="K16" i="5"/>
  <c r="I17" i="6"/>
  <c r="J35" i="6"/>
  <c r="X36" i="6" s="1"/>
  <c r="I28" i="6"/>
  <c r="X29" i="6" s="1"/>
  <c r="K40" i="6"/>
  <c r="V41" i="6" s="1"/>
  <c r="K11" i="6"/>
  <c r="V12" i="6" s="1"/>
  <c r="J30" i="6"/>
  <c r="L39" i="6"/>
  <c r="W40" i="6" s="1"/>
  <c r="I21" i="5"/>
  <c r="J21" i="5" s="1"/>
  <c r="T22" i="5" s="1"/>
  <c r="N27" i="6"/>
  <c r="N7" i="6"/>
  <c r="I12" i="6"/>
  <c r="X13" i="6" s="1"/>
  <c r="I10" i="5"/>
  <c r="J10" i="5" s="1"/>
  <c r="T11" i="5" s="1"/>
  <c r="L8" i="5"/>
  <c r="K28" i="6"/>
  <c r="V29" i="6" s="1"/>
  <c r="Y29" i="6" s="1"/>
  <c r="I7" i="5"/>
  <c r="J7" i="5" s="1"/>
  <c r="T8" i="5" s="1"/>
  <c r="I9" i="5"/>
  <c r="J9" i="5" s="1"/>
  <c r="T10" i="5" s="1"/>
  <c r="K45" i="6"/>
  <c r="V46" i="6" s="1"/>
  <c r="M19" i="5"/>
  <c r="V20" i="5" s="1"/>
  <c r="K34" i="5"/>
  <c r="U35" i="5" s="1"/>
  <c r="I19" i="6"/>
  <c r="K38" i="5"/>
  <c r="U39" i="5" s="1"/>
  <c r="W39" i="5" s="1"/>
  <c r="I23" i="6"/>
  <c r="X24" i="6" s="1"/>
  <c r="I9" i="6"/>
  <c r="J31" i="6"/>
  <c r="X32" i="6" s="1"/>
  <c r="M42" i="6"/>
  <c r="L27" i="5"/>
  <c r="I13" i="5"/>
  <c r="J13" i="5" s="1"/>
  <c r="T14" i="5" s="1"/>
  <c r="N25" i="6"/>
  <c r="J26" i="6"/>
  <c r="X27" i="6" s="1"/>
  <c r="M9" i="6"/>
  <c r="J48" i="6"/>
  <c r="M11" i="6"/>
  <c r="J7" i="6"/>
  <c r="X8" i="6" s="1"/>
  <c r="K47" i="5"/>
  <c r="U48" i="5" s="1"/>
  <c r="I42" i="6"/>
  <c r="X43" i="6" s="1"/>
  <c r="I14" i="6"/>
  <c r="N37" i="6"/>
  <c r="J21" i="6"/>
  <c r="X22" i="6" s="1"/>
  <c r="L23" i="5"/>
  <c r="L24" i="6"/>
  <c r="M10" i="5"/>
  <c r="V11" i="5" s="1"/>
  <c r="M21" i="6"/>
  <c r="N8" i="6"/>
  <c r="N39" i="6"/>
  <c r="I15" i="5"/>
  <c r="J15" i="5" s="1"/>
  <c r="T16" i="5" s="1"/>
  <c r="L48" i="5"/>
  <c r="L45" i="5"/>
  <c r="J27" i="6"/>
  <c r="W48" i="5"/>
  <c r="O48" i="3"/>
  <c r="O28" i="3"/>
  <c r="O8" i="3"/>
  <c r="AJ9" i="3"/>
  <c r="AI10" i="3"/>
  <c r="AA8" i="6"/>
  <c r="AA9" i="6" s="1"/>
  <c r="W16" i="5"/>
  <c r="X10" i="6"/>
  <c r="U12" i="5"/>
  <c r="X39" i="6"/>
  <c r="W34" i="6"/>
  <c r="Y34" i="6" s="1"/>
  <c r="W35" i="6"/>
  <c r="U43" i="5"/>
  <c r="W43" i="5" s="1"/>
  <c r="X42" i="6"/>
  <c r="W15" i="6"/>
  <c r="X49" i="6"/>
  <c r="W35" i="5"/>
  <c r="W45" i="6"/>
  <c r="Y45" i="6" s="1"/>
  <c r="X25" i="6"/>
  <c r="X26" i="6"/>
  <c r="W16" i="6"/>
  <c r="W36" i="6"/>
  <c r="Y36" i="6" s="1"/>
  <c r="X15" i="6"/>
  <c r="W28" i="6"/>
  <c r="X20" i="6"/>
  <c r="Y20" i="6" s="1"/>
  <c r="X30" i="6"/>
  <c r="O16" i="3"/>
  <c r="O36" i="3"/>
  <c r="O32" i="3"/>
  <c r="O12" i="3"/>
  <c r="O44" i="3"/>
  <c r="O24" i="3"/>
  <c r="O40" i="3"/>
  <c r="O20" i="3"/>
  <c r="AI16" i="7"/>
  <c r="AL15" i="7"/>
  <c r="AJ15" i="7"/>
  <c r="AK15" i="7"/>
  <c r="O35" i="3"/>
  <c r="O19" i="3"/>
  <c r="Q36" i="3"/>
  <c r="Q20" i="3"/>
  <c r="O47" i="3"/>
  <c r="O31" i="3"/>
  <c r="O15" i="3"/>
  <c r="Q47" i="3"/>
  <c r="Q43" i="3"/>
  <c r="Q39" i="3"/>
  <c r="Q35" i="3"/>
  <c r="Q31" i="3"/>
  <c r="Q27" i="3"/>
  <c r="Q23" i="3"/>
  <c r="Q19" i="3"/>
  <c r="Q15" i="3"/>
  <c r="Q11" i="3"/>
  <c r="Q44" i="3"/>
  <c r="Q32" i="3"/>
  <c r="O46" i="3"/>
  <c r="O42" i="3"/>
  <c r="O38" i="3"/>
  <c r="O34" i="3"/>
  <c r="O30" i="3"/>
  <c r="O26" i="3"/>
  <c r="O22" i="3"/>
  <c r="O18" i="3"/>
  <c r="O14" i="3"/>
  <c r="O10" i="3"/>
  <c r="O43" i="3"/>
  <c r="O27" i="3"/>
  <c r="O11" i="3"/>
  <c r="P30" i="3"/>
  <c r="P14" i="3"/>
  <c r="Q7" i="3"/>
  <c r="Q46" i="3"/>
  <c r="Q42" i="3"/>
  <c r="Q38" i="3"/>
  <c r="Q34" i="3"/>
  <c r="Q30" i="3"/>
  <c r="Q26" i="3"/>
  <c r="Q22" i="3"/>
  <c r="Q18" i="3"/>
  <c r="Q14" i="3"/>
  <c r="Q10" i="3"/>
  <c r="Q48" i="3"/>
  <c r="Q40" i="3"/>
  <c r="Q28" i="3"/>
  <c r="Q24" i="3"/>
  <c r="Q16" i="3"/>
  <c r="Q12" i="3"/>
  <c r="Q8" i="3"/>
  <c r="O39" i="3"/>
  <c r="O23" i="3"/>
  <c r="P46" i="3"/>
  <c r="P26" i="3"/>
  <c r="Q49" i="3"/>
  <c r="Q45" i="3"/>
  <c r="Q41" i="3"/>
  <c r="Q37" i="3"/>
  <c r="Q33" i="3"/>
  <c r="Q29" i="3"/>
  <c r="Q25" i="3"/>
  <c r="Q21" i="3"/>
  <c r="Q17" i="3"/>
  <c r="Q13" i="3"/>
  <c r="Q9" i="3"/>
  <c r="O49" i="3"/>
  <c r="O45" i="3"/>
  <c r="O41" i="3"/>
  <c r="O37" i="3"/>
  <c r="O33" i="3"/>
  <c r="O29" i="3"/>
  <c r="O25" i="3"/>
  <c r="O21" i="3"/>
  <c r="O17" i="3"/>
  <c r="O13" i="3"/>
  <c r="O9" i="3"/>
  <c r="P48" i="3"/>
  <c r="P44" i="3"/>
  <c r="P40" i="3"/>
  <c r="P36" i="3"/>
  <c r="P32" i="3"/>
  <c r="P28" i="3"/>
  <c r="P24" i="3"/>
  <c r="P20" i="3"/>
  <c r="P16" i="3"/>
  <c r="P12" i="3"/>
  <c r="P8" i="3"/>
  <c r="P38" i="3"/>
  <c r="P10" i="3"/>
  <c r="AA27" i="3" a="1"/>
  <c r="AE27" i="3" a="1"/>
  <c r="AF28" i="3" a="1"/>
  <c r="AC29" i="3" a="1"/>
  <c r="Z30" i="3" a="1"/>
  <c r="AD30" i="3" a="1"/>
  <c r="AA31" i="3" a="1"/>
  <c r="AE31" i="3" a="1"/>
  <c r="AB32" i="3" a="1"/>
  <c r="AF32" i="3" a="1"/>
  <c r="AC33" i="3" a="1"/>
  <c r="AB27" i="3" a="1"/>
  <c r="AF27" i="3" a="1"/>
  <c r="AC28" i="3" a="1"/>
  <c r="Z29" i="3" a="1"/>
  <c r="AD29" i="3" a="1"/>
  <c r="AA30" i="3" a="1"/>
  <c r="AE30" i="3" a="1"/>
  <c r="AB31" i="3" a="1"/>
  <c r="AF31" i="3" a="1"/>
  <c r="AC32" i="3" a="1"/>
  <c r="Z33" i="3" a="1"/>
  <c r="AD33" i="3" a="1"/>
  <c r="AC27" i="3" a="1"/>
  <c r="Z28" i="3" a="1"/>
  <c r="AD28" i="3" a="1"/>
  <c r="AA29" i="3" a="1"/>
  <c r="AE29" i="3" a="1"/>
  <c r="AB30" i="3" a="1"/>
  <c r="AF30" i="3" a="1"/>
  <c r="AC31" i="3" a="1"/>
  <c r="Z32" i="3" a="1"/>
  <c r="AD32" i="3" a="1"/>
  <c r="AA33" i="3" a="1"/>
  <c r="AE33" i="3" a="1"/>
  <c r="AB28" i="3" a="1"/>
  <c r="AD27" i="3" a="1"/>
  <c r="AA28" i="3" a="1"/>
  <c r="AE28" i="3" a="1"/>
  <c r="AB29" i="3" a="1"/>
  <c r="AF29" i="3" a="1"/>
  <c r="AC30" i="3" a="1"/>
  <c r="Z31" i="3" a="1"/>
  <c r="AD31" i="3" a="1"/>
  <c r="AA32" i="3" a="1"/>
  <c r="AE32" i="3" a="1"/>
  <c r="AB33" i="3" a="1"/>
  <c r="P27" i="7" a="1"/>
  <c r="T27" i="7" a="1"/>
  <c r="U28" i="7" a="1"/>
  <c r="R29" i="7" a="1"/>
  <c r="S30" i="7" a="1"/>
  <c r="P31" i="7" a="1"/>
  <c r="T31" i="7" a="1"/>
  <c r="Q32" i="7" a="1"/>
  <c r="U32" i="7" a="1"/>
  <c r="R33" i="7" a="1"/>
  <c r="Q27" i="7" a="1"/>
  <c r="U27" i="7" a="1"/>
  <c r="R28" i="7" a="1"/>
  <c r="O29" i="7" a="1"/>
  <c r="S29" i="7" a="1"/>
  <c r="P30" i="7" a="1"/>
  <c r="T30" i="7" a="1"/>
  <c r="Q31" i="7" a="1"/>
  <c r="U31" i="7" a="1"/>
  <c r="R32" i="7" a="1"/>
  <c r="O33" i="7" a="1"/>
  <c r="S33" i="7" a="1"/>
  <c r="R27" i="7" a="1"/>
  <c r="O28" i="7" a="1"/>
  <c r="S28" i="7" a="1"/>
  <c r="P29" i="7" a="1"/>
  <c r="T29" i="7" a="1"/>
  <c r="Q30" i="7" a="1"/>
  <c r="U30" i="7" a="1"/>
  <c r="R31" i="7" a="1"/>
  <c r="O32" i="7" a="1"/>
  <c r="S32" i="7" a="1"/>
  <c r="P33" i="7" a="1"/>
  <c r="T33" i="7" a="1"/>
  <c r="Q28" i="7" a="1"/>
  <c r="O30" i="7" a="1"/>
  <c r="S27" i="7" a="1"/>
  <c r="P28" i="7" a="1"/>
  <c r="T28" i="7" a="1"/>
  <c r="Q29" i="7" a="1"/>
  <c r="U29" i="7" a="1"/>
  <c r="R30" i="7" a="1"/>
  <c r="O31" i="7" a="1"/>
  <c r="S31" i="7" a="1"/>
  <c r="P32" i="7" a="1"/>
  <c r="T32" i="7" a="1"/>
  <c r="Q33" i="7" a="1"/>
  <c r="O27" i="7" a="1"/>
  <c r="O27" i="7" l="1"/>
  <c r="Q33" i="7"/>
  <c r="T32" i="7"/>
  <c r="P32" i="7"/>
  <c r="S31" i="7"/>
  <c r="O31" i="7"/>
  <c r="R30" i="7"/>
  <c r="U29" i="7"/>
  <c r="Q29" i="7"/>
  <c r="T28" i="7"/>
  <c r="P28" i="7"/>
  <c r="S27" i="7"/>
  <c r="O30" i="7"/>
  <c r="Q28" i="7"/>
  <c r="T33" i="7"/>
  <c r="P33" i="7"/>
  <c r="S32" i="7"/>
  <c r="O32" i="7"/>
  <c r="R31" i="7"/>
  <c r="U30" i="7"/>
  <c r="Q30" i="7"/>
  <c r="T29" i="7"/>
  <c r="P29" i="7"/>
  <c r="S28" i="7"/>
  <c r="O28" i="7"/>
  <c r="R27" i="7"/>
  <c r="S33" i="7"/>
  <c r="O33" i="7"/>
  <c r="R32" i="7"/>
  <c r="U31" i="7"/>
  <c r="Q31" i="7"/>
  <c r="T30" i="7"/>
  <c r="P30" i="7"/>
  <c r="S29" i="7"/>
  <c r="O29" i="7"/>
  <c r="R28" i="7"/>
  <c r="U27" i="7"/>
  <c r="Q27" i="7"/>
  <c r="R33" i="7"/>
  <c r="U32" i="7"/>
  <c r="Q32" i="7"/>
  <c r="T31" i="7"/>
  <c r="P31" i="7"/>
  <c r="S30" i="7"/>
  <c r="R29" i="7"/>
  <c r="U28" i="7"/>
  <c r="T27" i="7"/>
  <c r="P27" i="7"/>
  <c r="AB33" i="3"/>
  <c r="AE32" i="3"/>
  <c r="AA32" i="3"/>
  <c r="AD31" i="3"/>
  <c r="Z31" i="3"/>
  <c r="AC30" i="3"/>
  <c r="AF29" i="3"/>
  <c r="AB29" i="3"/>
  <c r="AE28" i="3"/>
  <c r="AA28" i="3"/>
  <c r="AD27" i="3"/>
  <c r="AB28" i="3"/>
  <c r="AE33" i="3"/>
  <c r="AA33" i="3"/>
  <c r="AD32" i="3"/>
  <c r="Z32" i="3"/>
  <c r="AC31" i="3"/>
  <c r="AF30" i="3"/>
  <c r="AB30" i="3"/>
  <c r="AE29" i="3"/>
  <c r="AA29" i="3"/>
  <c r="AD28" i="3"/>
  <c r="Z28" i="3"/>
  <c r="AC27" i="3"/>
  <c r="AD33" i="3"/>
  <c r="Z33" i="3"/>
  <c r="AC32" i="3"/>
  <c r="AF31" i="3"/>
  <c r="AB31" i="3"/>
  <c r="AE30" i="3"/>
  <c r="AA30" i="3"/>
  <c r="AD29" i="3"/>
  <c r="Z29" i="3"/>
  <c r="AC28" i="3"/>
  <c r="AF27" i="3"/>
  <c r="AB27" i="3"/>
  <c r="AC33" i="3"/>
  <c r="AF32" i="3"/>
  <c r="AB32" i="3"/>
  <c r="AE31" i="3"/>
  <c r="AA31" i="3"/>
  <c r="AD30" i="3"/>
  <c r="Z30" i="3"/>
  <c r="AC29" i="3"/>
  <c r="AF28" i="3"/>
  <c r="AE27" i="3"/>
  <c r="AA27" i="3"/>
  <c r="X46" i="6"/>
  <c r="Y46" i="6" s="1"/>
  <c r="W21" i="6"/>
  <c r="Y21" i="6" s="1"/>
  <c r="W17" i="6"/>
  <c r="Y39" i="6"/>
  <c r="W43" i="6"/>
  <c r="Y43" i="6" s="1"/>
  <c r="X18" i="6"/>
  <c r="U49" i="5"/>
  <c r="W49" i="5" s="1"/>
  <c r="W22" i="6"/>
  <c r="Y22" i="6" s="1"/>
  <c r="W42" i="6"/>
  <c r="Y42" i="6" s="1"/>
  <c r="W48" i="6"/>
  <c r="AD11" i="3"/>
  <c r="U42" i="5"/>
  <c r="W42" i="5" s="1"/>
  <c r="U13" i="5"/>
  <c r="W23" i="6"/>
  <c r="Y23" i="6" s="1"/>
  <c r="Y13" i="6"/>
  <c r="X38" i="6"/>
  <c r="Y38" i="6" s="1"/>
  <c r="U40" i="5"/>
  <c r="W40" i="5" s="1"/>
  <c r="U25" i="5"/>
  <c r="W25" i="5" s="1"/>
  <c r="U14" i="5"/>
  <c r="W14" i="5" s="1"/>
  <c r="X31" i="6"/>
  <c r="Y31" i="6" s="1"/>
  <c r="U22" i="7"/>
  <c r="P17" i="7"/>
  <c r="T17" i="7"/>
  <c r="R18" i="7"/>
  <c r="P19" i="7"/>
  <c r="T19" i="7"/>
  <c r="R20" i="7"/>
  <c r="P21" i="7"/>
  <c r="T21" i="7"/>
  <c r="R22" i="7"/>
  <c r="R16" i="7"/>
  <c r="P16" i="7"/>
  <c r="O21" i="7"/>
  <c r="S17" i="7"/>
  <c r="Q18" i="7"/>
  <c r="S19" i="7"/>
  <c r="U20" i="7"/>
  <c r="Q22" i="7"/>
  <c r="O20" i="7"/>
  <c r="O16" i="7"/>
  <c r="Q17" i="7"/>
  <c r="U17" i="7"/>
  <c r="S18" i="7"/>
  <c r="Q19" i="7"/>
  <c r="U19" i="7"/>
  <c r="S20" i="7"/>
  <c r="Q21" i="7"/>
  <c r="U21" i="7"/>
  <c r="S22" i="7"/>
  <c r="S16" i="7"/>
  <c r="O18" i="7"/>
  <c r="O22" i="7"/>
  <c r="R17" i="7"/>
  <c r="P18" i="7"/>
  <c r="T18" i="7"/>
  <c r="R19" i="7"/>
  <c r="P20" i="7"/>
  <c r="T20" i="7"/>
  <c r="R21" i="7"/>
  <c r="P22" i="7"/>
  <c r="T22" i="7"/>
  <c r="T16" i="7"/>
  <c r="O19" i="7"/>
  <c r="O17" i="7"/>
  <c r="U18" i="7"/>
  <c r="Q20" i="7"/>
  <c r="S21" i="7"/>
  <c r="Q16" i="7"/>
  <c r="U16" i="7"/>
  <c r="W32" i="6"/>
  <c r="Y32" i="6" s="1"/>
  <c r="W22" i="5"/>
  <c r="U31" i="5"/>
  <c r="W31" i="5" s="1"/>
  <c r="U26" i="5"/>
  <c r="W26" i="5" s="1"/>
  <c r="Y27" i="6"/>
  <c r="W41" i="5"/>
  <c r="W10" i="6"/>
  <c r="AA10" i="6" s="1"/>
  <c r="AA11" i="6" s="1"/>
  <c r="AA12" i="6" s="1"/>
  <c r="AA13" i="6" s="1"/>
  <c r="AA14" i="6" s="1"/>
  <c r="AA15" i="6" s="1"/>
  <c r="AA16" i="6" s="1"/>
  <c r="AA17" i="6" s="1"/>
  <c r="AA18" i="6" s="1"/>
  <c r="AA19" i="6" s="1"/>
  <c r="AA20" i="6" s="1"/>
  <c r="AA21" i="6" s="1"/>
  <c r="AA22" i="6" s="1"/>
  <c r="AA23" i="6" s="1"/>
  <c r="AA24" i="6" s="1"/>
  <c r="AA25" i="6" s="1"/>
  <c r="AA26" i="6" s="1"/>
  <c r="AA27" i="6" s="1"/>
  <c r="AA28" i="6" s="1"/>
  <c r="AA29" i="6" s="1"/>
  <c r="AA30" i="6" s="1"/>
  <c r="AA31" i="6" s="1"/>
  <c r="AA32" i="6" s="1"/>
  <c r="AA33" i="6" s="1"/>
  <c r="AA34" i="6" s="1"/>
  <c r="AA35" i="6" s="1"/>
  <c r="AA36" i="6" s="1"/>
  <c r="AA37" i="6" s="1"/>
  <c r="AA38" i="6" s="1"/>
  <c r="AA39" i="6" s="1"/>
  <c r="AA40" i="6" s="1"/>
  <c r="AA41" i="6" s="1"/>
  <c r="AA42" i="6" s="1"/>
  <c r="AA43" i="6" s="1"/>
  <c r="AA44" i="6" s="1"/>
  <c r="AA45" i="6" s="1"/>
  <c r="AA46" i="6" s="1"/>
  <c r="AA47" i="6" s="1"/>
  <c r="AA48" i="6" s="1"/>
  <c r="AA49" i="6" s="1"/>
  <c r="W45" i="5"/>
  <c r="Y25" i="6"/>
  <c r="W12" i="5"/>
  <c r="W25" i="6"/>
  <c r="U17" i="5"/>
  <c r="W17" i="5" s="1"/>
  <c r="X28" i="6"/>
  <c r="Y28" i="6" s="1"/>
  <c r="W19" i="6"/>
  <c r="Y19" i="6" s="1"/>
  <c r="Z7" i="6"/>
  <c r="Z8" i="6" s="1"/>
  <c r="Z9" i="6" s="1"/>
  <c r="Z10" i="6" s="1"/>
  <c r="Z11" i="6" s="1"/>
  <c r="Z12" i="6" s="1"/>
  <c r="Z13" i="6" s="1"/>
  <c r="Z14" i="6" s="1"/>
  <c r="Z15" i="6" s="1"/>
  <c r="Z16" i="6" s="1"/>
  <c r="Z17" i="6" s="1"/>
  <c r="Z18" i="6" s="1"/>
  <c r="Z19" i="6" s="1"/>
  <c r="Z20" i="6" s="1"/>
  <c r="Z21" i="6" s="1"/>
  <c r="Z22" i="6" s="1"/>
  <c r="Z23" i="6" s="1"/>
  <c r="Z24" i="6" s="1"/>
  <c r="Z25" i="6" s="1"/>
  <c r="Z26" i="6" s="1"/>
  <c r="Z27" i="6" s="1"/>
  <c r="Z28" i="6" s="1"/>
  <c r="Z29" i="6" s="1"/>
  <c r="Z30" i="6" s="1"/>
  <c r="Z31" i="6" s="1"/>
  <c r="Z32" i="6" s="1"/>
  <c r="Z33" i="6" s="1"/>
  <c r="Z34" i="6" s="1"/>
  <c r="Z35" i="6" s="1"/>
  <c r="Z36" i="6" s="1"/>
  <c r="Z37" i="6" s="1"/>
  <c r="Z38" i="6" s="1"/>
  <c r="Z39" i="6" s="1"/>
  <c r="Z40" i="6" s="1"/>
  <c r="Z41" i="6" s="1"/>
  <c r="Z42" i="6" s="1"/>
  <c r="Z43" i="6" s="1"/>
  <c r="Z44" i="6" s="1"/>
  <c r="Z45" i="6" s="1"/>
  <c r="Z46" i="6" s="1"/>
  <c r="Z47" i="6" s="1"/>
  <c r="Z48" i="6" s="1"/>
  <c r="Z49" i="6" s="1"/>
  <c r="X35" i="6"/>
  <c r="Y35" i="6" s="1"/>
  <c r="W14" i="6"/>
  <c r="U9" i="5"/>
  <c r="W9" i="5" s="1"/>
  <c r="W37" i="5"/>
  <c r="U24" i="5"/>
  <c r="W24" i="5" s="1"/>
  <c r="W12" i="6"/>
  <c r="Y12" i="6" s="1"/>
  <c r="W30" i="6"/>
  <c r="Y30" i="6" s="1"/>
  <c r="U28" i="5"/>
  <c r="W28" i="5" s="1"/>
  <c r="U21" i="5"/>
  <c r="W21" i="5" s="1"/>
  <c r="U8" i="5"/>
  <c r="Y8" i="5" s="1"/>
  <c r="Y9" i="5" s="1"/>
  <c r="Y10" i="5" s="1"/>
  <c r="Y11" i="5" s="1"/>
  <c r="Y12" i="5" s="1"/>
  <c r="Y13" i="5" s="1"/>
  <c r="Y14" i="5" s="1"/>
  <c r="Y15" i="5" s="1"/>
  <c r="Y16" i="5" s="1"/>
  <c r="Y17" i="5" s="1"/>
  <c r="Y18" i="5" s="1"/>
  <c r="Y19" i="5" s="1"/>
  <c r="Y20" i="5" s="1"/>
  <c r="Y21" i="5" s="1"/>
  <c r="Y22" i="5" s="1"/>
  <c r="Y23" i="5" s="1"/>
  <c r="Y24" i="5" s="1"/>
  <c r="Y25" i="5" s="1"/>
  <c r="Y26" i="5" s="1"/>
  <c r="Y27" i="5" s="1"/>
  <c r="Y28" i="5" s="1"/>
  <c r="Y29" i="5" s="1"/>
  <c r="Y30" i="5" s="1"/>
  <c r="Y31" i="5" s="1"/>
  <c r="Y32" i="5" s="1"/>
  <c r="Y33" i="5" s="1"/>
  <c r="Y34" i="5" s="1"/>
  <c r="Y35" i="5" s="1"/>
  <c r="Y36" i="5" s="1"/>
  <c r="Y37" i="5" s="1"/>
  <c r="Y38" i="5" s="1"/>
  <c r="Y39" i="5" s="1"/>
  <c r="Y40" i="5" s="1"/>
  <c r="Y41" i="5" s="1"/>
  <c r="Y42" i="5" s="1"/>
  <c r="Y43" i="5" s="1"/>
  <c r="Y44" i="5" s="1"/>
  <c r="Y45" i="5" s="1"/>
  <c r="Y46" i="5" s="1"/>
  <c r="Y47" i="5" s="1"/>
  <c r="Y48" i="5" s="1"/>
  <c r="Y49" i="5" s="1"/>
  <c r="W44" i="5"/>
  <c r="W27" i="6"/>
  <c r="U47" i="5"/>
  <c r="W47" i="5" s="1"/>
  <c r="U19" i="5"/>
  <c r="W19" i="5" s="1"/>
  <c r="X44" i="6"/>
  <c r="Y44" i="6" s="1"/>
  <c r="W13" i="5"/>
  <c r="W8" i="5"/>
  <c r="X14" i="6"/>
  <c r="Y41" i="6"/>
  <c r="W49" i="6"/>
  <c r="Y49" i="6" s="1"/>
  <c r="Y16" i="6"/>
  <c r="W32" i="5"/>
  <c r="W29" i="5"/>
  <c r="X16" i="6"/>
  <c r="X48" i="6"/>
  <c r="Y48" i="6" s="1"/>
  <c r="X37" i="6"/>
  <c r="Y37" i="6" s="1"/>
  <c r="X40" i="6"/>
  <c r="Y40" i="6" s="1"/>
  <c r="U10" i="5"/>
  <c r="W10" i="5" s="1"/>
  <c r="X17" i="6"/>
  <c r="X8" i="5"/>
  <c r="X9" i="5" s="1"/>
  <c r="X10" i="5" s="1"/>
  <c r="X11" i="5" s="1"/>
  <c r="X12" i="5" s="1"/>
  <c r="X13" i="5" s="1"/>
  <c r="X14" i="5" s="1"/>
  <c r="X15" i="5" s="1"/>
  <c r="X16" i="5" s="1"/>
  <c r="X17" i="5" s="1"/>
  <c r="X18" i="5" s="1"/>
  <c r="X19" i="5" s="1"/>
  <c r="X20" i="5" s="1"/>
  <c r="X21" i="5" s="1"/>
  <c r="X22" i="5" s="1"/>
  <c r="X23" i="5" s="1"/>
  <c r="X24" i="5" s="1"/>
  <c r="X25" i="5" s="1"/>
  <c r="X26" i="5" s="1"/>
  <c r="X27" i="5" s="1"/>
  <c r="X28" i="5" s="1"/>
  <c r="X29" i="5" s="1"/>
  <c r="X30" i="5" s="1"/>
  <c r="X31" i="5" s="1"/>
  <c r="X32" i="5" s="1"/>
  <c r="X33" i="5" s="1"/>
  <c r="X34" i="5" s="1"/>
  <c r="X35" i="5" s="1"/>
  <c r="X36" i="5" s="1"/>
  <c r="X37" i="5" s="1"/>
  <c r="X38" i="5" s="1"/>
  <c r="X39" i="5" s="1"/>
  <c r="X40" i="5" s="1"/>
  <c r="X41" i="5" s="1"/>
  <c r="X42" i="5" s="1"/>
  <c r="X43" i="5" s="1"/>
  <c r="X44" i="5" s="1"/>
  <c r="X45" i="5" s="1"/>
  <c r="X46" i="5" s="1"/>
  <c r="X47" i="5" s="1"/>
  <c r="X48" i="5" s="1"/>
  <c r="X49" i="5" s="1"/>
  <c r="W18" i="6"/>
  <c r="Y18" i="6" s="1"/>
  <c r="Y24" i="6"/>
  <c r="Y14" i="6"/>
  <c r="W11" i="6"/>
  <c r="Y11" i="6" s="1"/>
  <c r="Z7" i="5"/>
  <c r="Z8" i="5" s="1"/>
  <c r="Z9" i="5" s="1"/>
  <c r="Z10" i="5" s="1"/>
  <c r="Z11" i="5" s="1"/>
  <c r="Z12" i="5" s="1"/>
  <c r="Z13" i="5" s="1"/>
  <c r="Z14" i="5" s="1"/>
  <c r="Z15" i="5" s="1"/>
  <c r="Z16" i="5" s="1"/>
  <c r="Z17" i="5" s="1"/>
  <c r="Z18" i="5" s="1"/>
  <c r="Z19" i="5" s="1"/>
  <c r="Z20" i="5" s="1"/>
  <c r="Z21" i="5" s="1"/>
  <c r="Z22" i="5" s="1"/>
  <c r="Z23" i="5" s="1"/>
  <c r="Z24" i="5" s="1"/>
  <c r="Z25" i="5" s="1"/>
  <c r="Z26" i="5" s="1"/>
  <c r="Z27" i="5" s="1"/>
  <c r="Z28" i="5" s="1"/>
  <c r="Z29" i="5" s="1"/>
  <c r="Z30" i="5" s="1"/>
  <c r="Z31" i="5" s="1"/>
  <c r="Z32" i="5" s="1"/>
  <c r="Z33" i="5" s="1"/>
  <c r="Z34" i="5" s="1"/>
  <c r="Z35" i="5" s="1"/>
  <c r="Z36" i="5" s="1"/>
  <c r="Z37" i="5" s="1"/>
  <c r="Z38" i="5" s="1"/>
  <c r="Z39" i="5" s="1"/>
  <c r="Z40" i="5" s="1"/>
  <c r="Z41" i="5" s="1"/>
  <c r="Z42" i="5" s="1"/>
  <c r="Z43" i="5" s="1"/>
  <c r="Z44" i="5" s="1"/>
  <c r="Z45" i="5" s="1"/>
  <c r="Z46" i="5" s="1"/>
  <c r="Z47" i="5" s="1"/>
  <c r="Z48" i="5" s="1"/>
  <c r="Z49" i="5" s="1"/>
  <c r="W7" i="5"/>
  <c r="AA7" i="5" s="1"/>
  <c r="X7" i="6"/>
  <c r="AB7" i="6" s="1"/>
  <c r="AB8" i="6" s="1"/>
  <c r="AB9" i="6" s="1"/>
  <c r="X33" i="6"/>
  <c r="Y33" i="6" s="1"/>
  <c r="AJ10" i="3"/>
  <c r="AI11" i="3"/>
  <c r="AB10" i="6"/>
  <c r="AB11" i="6" s="1"/>
  <c r="AB12" i="6" s="1"/>
  <c r="AB13" i="6" s="1"/>
  <c r="AB14" i="6" s="1"/>
  <c r="AB15" i="6" s="1"/>
  <c r="AB16" i="6" s="1"/>
  <c r="AB17" i="6" s="1"/>
  <c r="AB18" i="6" s="1"/>
  <c r="AB19" i="6" s="1"/>
  <c r="AB20" i="6" s="1"/>
  <c r="AB21" i="6" s="1"/>
  <c r="AB22" i="6" s="1"/>
  <c r="AB23" i="6" s="1"/>
  <c r="AB24" i="6" s="1"/>
  <c r="AB25" i="6" s="1"/>
  <c r="AB26" i="6" s="1"/>
  <c r="AB27" i="6" s="1"/>
  <c r="Y15" i="6"/>
  <c r="AI17" i="7"/>
  <c r="AK16" i="7"/>
  <c r="AJ16" i="7"/>
  <c r="AL16" i="7"/>
  <c r="AA17" i="3" l="1"/>
  <c r="AB18" i="3"/>
  <c r="AF19" i="3"/>
  <c r="Z21" i="3"/>
  <c r="AE22" i="3"/>
  <c r="AC17" i="3"/>
  <c r="AF20" i="3"/>
  <c r="AB16" i="3"/>
  <c r="Z18" i="3"/>
  <c r="Z20" i="3"/>
  <c r="AD21" i="3"/>
  <c r="AD16" i="3"/>
  <c r="AA16" i="3"/>
  <c r="AD20" i="3"/>
  <c r="AD19" i="3"/>
  <c r="AE19" i="3"/>
  <c r="AD22" i="3"/>
  <c r="AB17" i="3"/>
  <c r="AE18" i="3"/>
  <c r="AA20" i="3"/>
  <c r="AC21" i="3"/>
  <c r="AC16" i="3"/>
  <c r="AD18" i="3"/>
  <c r="AB21" i="3"/>
  <c r="AE16" i="3"/>
  <c r="AC18" i="3"/>
  <c r="AB20" i="3"/>
  <c r="AF21" i="3"/>
  <c r="AE17" i="3"/>
  <c r="AC19" i="3"/>
  <c r="AB22" i="3"/>
  <c r="AC22" i="3"/>
  <c r="AA21" i="3"/>
  <c r="AF17" i="3"/>
  <c r="Z19" i="3"/>
  <c r="AC20" i="3"/>
  <c r="Z22" i="3"/>
  <c r="AF16" i="3"/>
  <c r="AB19" i="3"/>
  <c r="AE21" i="3"/>
  <c r="Z17" i="3"/>
  <c r="AF18" i="3"/>
  <c r="AE20" i="3"/>
  <c r="AA22" i="3"/>
  <c r="AA19" i="3"/>
  <c r="AA18" i="3"/>
  <c r="AD17" i="3"/>
  <c r="AB28" i="6"/>
  <c r="AB29" i="6" s="1"/>
  <c r="AB30" i="6" s="1"/>
  <c r="AB31" i="6" s="1"/>
  <c r="AB32" i="6" s="1"/>
  <c r="AB33" i="6" s="1"/>
  <c r="AB34" i="6" s="1"/>
  <c r="AB35" i="6" s="1"/>
  <c r="AB36" i="6" s="1"/>
  <c r="AB37" i="6" s="1"/>
  <c r="AB38" i="6" s="1"/>
  <c r="AB39" i="6" s="1"/>
  <c r="AB40" i="6" s="1"/>
  <c r="AB41" i="6" s="1"/>
  <c r="AB42" i="6" s="1"/>
  <c r="AB43" i="6" s="1"/>
  <c r="AB44" i="6" s="1"/>
  <c r="AB45" i="6" s="1"/>
  <c r="AB46" i="6" s="1"/>
  <c r="AB47" i="6" s="1"/>
  <c r="AB48" i="6" s="1"/>
  <c r="AB49" i="6" s="1"/>
  <c r="Y7" i="6"/>
  <c r="AC7" i="6" s="1"/>
  <c r="AC8" i="6" s="1"/>
  <c r="AC9" i="6" s="1"/>
  <c r="AC10" i="6" s="1"/>
  <c r="AC11" i="6" s="1"/>
  <c r="AC12" i="6" s="1"/>
  <c r="AC13" i="6" s="1"/>
  <c r="AC14" i="6" s="1"/>
  <c r="AC15" i="6" s="1"/>
  <c r="AC16" i="6" s="1"/>
  <c r="AC17" i="6" s="1"/>
  <c r="AC18" i="6" s="1"/>
  <c r="AC19" i="6" s="1"/>
  <c r="AC20" i="6" s="1"/>
  <c r="AC21" i="6" s="1"/>
  <c r="AC22" i="6" s="1"/>
  <c r="AC23" i="6" s="1"/>
  <c r="AC24" i="6" s="1"/>
  <c r="AC25" i="6" s="1"/>
  <c r="AC26" i="6" s="1"/>
  <c r="AC27" i="6" s="1"/>
  <c r="AC28" i="6" s="1"/>
  <c r="AC29" i="6" s="1"/>
  <c r="AC30" i="6" s="1"/>
  <c r="AC31" i="6" s="1"/>
  <c r="AC32" i="6" s="1"/>
  <c r="AC33" i="6" s="1"/>
  <c r="AC34" i="6" s="1"/>
  <c r="AC35" i="6" s="1"/>
  <c r="AC36" i="6" s="1"/>
  <c r="AC37" i="6" s="1"/>
  <c r="AC38" i="6" s="1"/>
  <c r="AC39" i="6" s="1"/>
  <c r="AC40" i="6" s="1"/>
  <c r="AC41" i="6" s="1"/>
  <c r="AC42" i="6" s="1"/>
  <c r="AC43" i="6" s="1"/>
  <c r="AC44" i="6" s="1"/>
  <c r="AC45" i="6" s="1"/>
  <c r="AC46" i="6" s="1"/>
  <c r="AC47" i="6" s="1"/>
  <c r="AC48" i="6" s="1"/>
  <c r="AC49" i="6" s="1"/>
  <c r="Y10" i="6"/>
  <c r="Y17" i="6"/>
  <c r="AA8" i="5"/>
  <c r="AA9" i="5" s="1"/>
  <c r="AA10" i="5" s="1"/>
  <c r="AA11" i="5" s="1"/>
  <c r="AA12" i="5" s="1"/>
  <c r="AA13" i="5" s="1"/>
  <c r="AA14" i="5" s="1"/>
  <c r="AA15" i="5" s="1"/>
  <c r="AA16" i="5" s="1"/>
  <c r="AA17" i="5" s="1"/>
  <c r="AA18" i="5" s="1"/>
  <c r="AA19" i="5" s="1"/>
  <c r="AA20" i="5" s="1"/>
  <c r="AA21" i="5" s="1"/>
  <c r="AA22" i="5" s="1"/>
  <c r="AA23" i="5" s="1"/>
  <c r="AA24" i="5" s="1"/>
  <c r="AA25" i="5" s="1"/>
  <c r="AA26" i="5" s="1"/>
  <c r="AA27" i="5" s="1"/>
  <c r="AA28" i="5" s="1"/>
  <c r="AA29" i="5" s="1"/>
  <c r="AA30" i="5" s="1"/>
  <c r="AA31" i="5" s="1"/>
  <c r="AA32" i="5" s="1"/>
  <c r="AA33" i="5" s="1"/>
  <c r="AA34" i="5" s="1"/>
  <c r="AA35" i="5" s="1"/>
  <c r="AA36" i="5" s="1"/>
  <c r="AA37" i="5" s="1"/>
  <c r="AA38" i="5" s="1"/>
  <c r="AA39" i="5" s="1"/>
  <c r="AA40" i="5" s="1"/>
  <c r="AA41" i="5" s="1"/>
  <c r="AA42" i="5" s="1"/>
  <c r="AA43" i="5" s="1"/>
  <c r="AA44" i="5" s="1"/>
  <c r="AA45" i="5" s="1"/>
  <c r="AA46" i="5" s="1"/>
  <c r="AA47" i="5" s="1"/>
  <c r="AA48" i="5" s="1"/>
  <c r="AA49" i="5" s="1"/>
  <c r="AJ11" i="3"/>
  <c r="AI12" i="3"/>
  <c r="AI18" i="7"/>
  <c r="AL17" i="7"/>
  <c r="AK17" i="7"/>
  <c r="AJ17" i="7"/>
  <c r="AJ12" i="3" l="1"/>
  <c r="AI13" i="3"/>
  <c r="AI19" i="7"/>
  <c r="AK18" i="7"/>
  <c r="AJ18" i="7"/>
  <c r="AL18" i="7"/>
  <c r="AJ13" i="3" l="1"/>
  <c r="AI14" i="3"/>
  <c r="AI20" i="7"/>
  <c r="AJ19" i="7"/>
  <c r="AL19" i="7"/>
  <c r="AK19" i="7"/>
  <c r="AJ14" i="3" l="1"/>
  <c r="AI15" i="3"/>
  <c r="AI21" i="7"/>
  <c r="AL20" i="7"/>
  <c r="AK20" i="7"/>
  <c r="AJ20" i="7"/>
  <c r="AJ15" i="3" l="1"/>
  <c r="AI16" i="3"/>
  <c r="AI22" i="7"/>
  <c r="AJ21" i="7"/>
  <c r="AK21" i="7"/>
  <c r="AL21" i="7"/>
  <c r="AJ16" i="3" l="1"/>
  <c r="AI17" i="3"/>
  <c r="AI23" i="7"/>
  <c r="AK22" i="7"/>
  <c r="AL22" i="7"/>
  <c r="AJ22" i="7"/>
  <c r="AJ17" i="3" l="1"/>
  <c r="AI18" i="3"/>
  <c r="AI24" i="7"/>
  <c r="AL23" i="7"/>
  <c r="AK23" i="7"/>
  <c r="AJ23" i="7"/>
  <c r="AJ18" i="3" l="1"/>
  <c r="AI19" i="3"/>
  <c r="AK24" i="7"/>
  <c r="AJ24" i="7"/>
  <c r="AI25" i="7"/>
  <c r="AL24" i="7"/>
  <c r="AJ19" i="3" l="1"/>
  <c r="AI20" i="3"/>
  <c r="AI26" i="7"/>
  <c r="AJ25" i="7"/>
  <c r="AL25" i="7"/>
  <c r="AK25" i="7"/>
  <c r="AJ20" i="3" l="1"/>
  <c r="AI21" i="3"/>
  <c r="AK26" i="7"/>
  <c r="AI27" i="7"/>
  <c r="AL26" i="7"/>
  <c r="AJ26" i="7"/>
  <c r="AJ21" i="3" l="1"/>
  <c r="AI22" i="3"/>
  <c r="AI28" i="7"/>
  <c r="AL27" i="7"/>
  <c r="AK27" i="7"/>
  <c r="AJ27" i="7"/>
  <c r="AJ22" i="3" l="1"/>
  <c r="AI23" i="3"/>
  <c r="AI29" i="7"/>
  <c r="AL28" i="7"/>
  <c r="AK28" i="7"/>
  <c r="AJ28" i="7"/>
  <c r="AJ23" i="3" l="1"/>
  <c r="AI24" i="3"/>
  <c r="AI30" i="7"/>
  <c r="AL29" i="7"/>
  <c r="AK29" i="7"/>
  <c r="AJ29" i="7"/>
  <c r="AJ24" i="3" l="1"/>
  <c r="AI25" i="3"/>
  <c r="AI31" i="7"/>
  <c r="AJ30" i="7"/>
  <c r="AK30" i="7"/>
  <c r="AL30" i="7"/>
  <c r="AJ25" i="3" l="1"/>
  <c r="AI26" i="3"/>
  <c r="AL31" i="7"/>
  <c r="AJ31" i="7"/>
  <c r="AI32" i="7"/>
  <c r="AK31" i="7"/>
  <c r="AJ26" i="3" l="1"/>
  <c r="AI27" i="3"/>
  <c r="AI33" i="7"/>
  <c r="AL32" i="7"/>
  <c r="AK32" i="7"/>
  <c r="AJ32" i="7"/>
  <c r="AJ27" i="3" l="1"/>
  <c r="AI28" i="3"/>
  <c r="AI34" i="7"/>
  <c r="AL33" i="7"/>
  <c r="AK33" i="7"/>
  <c r="AJ33" i="7"/>
  <c r="AJ28" i="3" l="1"/>
  <c r="AI29" i="3"/>
  <c r="AL34" i="7"/>
  <c r="AJ34" i="7"/>
  <c r="AI35" i="7"/>
  <c r="AK34" i="7"/>
  <c r="AJ29" i="3" l="1"/>
  <c r="AI30" i="3"/>
  <c r="AJ35" i="7"/>
  <c r="AK35" i="7"/>
  <c r="AL35" i="7"/>
  <c r="AI36" i="7"/>
  <c r="AJ30" i="3" l="1"/>
  <c r="AI31" i="3"/>
  <c r="AL36" i="7"/>
  <c r="AJ36" i="7"/>
  <c r="AI37" i="7"/>
  <c r="AK36" i="7"/>
  <c r="AJ31" i="3" l="1"/>
  <c r="AI32" i="3"/>
  <c r="AI38" i="7"/>
  <c r="AL37" i="7"/>
  <c r="AK37" i="7"/>
  <c r="AJ37" i="7"/>
  <c r="AJ32" i="3" l="1"/>
  <c r="AI33" i="3"/>
  <c r="AI39" i="7"/>
  <c r="AL38" i="7"/>
  <c r="AJ38" i="7"/>
  <c r="AK38" i="7"/>
  <c r="AJ33" i="3" l="1"/>
  <c r="AI34" i="3"/>
  <c r="AJ39" i="7"/>
  <c r="AI40" i="7"/>
  <c r="AL39" i="7"/>
  <c r="AK39" i="7"/>
  <c r="AJ34" i="3" l="1"/>
  <c r="AI35" i="3"/>
  <c r="AJ40" i="7"/>
  <c r="AK40" i="7"/>
  <c r="AL40" i="7"/>
  <c r="AI41" i="7"/>
  <c r="AJ35" i="3" l="1"/>
  <c r="AI36" i="3"/>
  <c r="AI42" i="7"/>
  <c r="AK41" i="7"/>
  <c r="AJ41" i="7"/>
  <c r="AL41" i="7"/>
  <c r="AJ36" i="3" l="1"/>
  <c r="AI37" i="3"/>
  <c r="AI43" i="7"/>
  <c r="AJ42" i="7"/>
  <c r="AL42" i="7"/>
  <c r="AK42" i="7"/>
  <c r="AJ37" i="3" l="1"/>
  <c r="AI38" i="3"/>
  <c r="AI44" i="7"/>
  <c r="AJ43" i="7"/>
  <c r="AL43" i="7"/>
  <c r="AK43" i="7"/>
  <c r="AJ38" i="3" l="1"/>
  <c r="AI39" i="3"/>
  <c r="AI45" i="7"/>
  <c r="AK44" i="7"/>
  <c r="AJ44" i="7"/>
  <c r="AL44" i="7"/>
  <c r="AJ39" i="3" l="1"/>
  <c r="AI40" i="3"/>
  <c r="AI46" i="7"/>
  <c r="AL45" i="7"/>
  <c r="AK45" i="7"/>
  <c r="AJ45" i="7"/>
  <c r="AJ40" i="3" l="1"/>
  <c r="AI41" i="3"/>
  <c r="AI47" i="7"/>
  <c r="AL46" i="7"/>
  <c r="AJ46" i="7"/>
  <c r="AK46" i="7"/>
  <c r="AJ41" i="3" l="1"/>
  <c r="AI48" i="7"/>
  <c r="AJ47" i="7"/>
  <c r="AK47" i="7"/>
  <c r="AL47" i="7"/>
  <c r="AJ42" i="3" l="1"/>
  <c r="AM42" i="3" s="1"/>
  <c r="AI43" i="3"/>
  <c r="AI49" i="7"/>
  <c r="AL48" i="7"/>
  <c r="AK48" i="7"/>
  <c r="AJ48" i="7"/>
  <c r="AK43" i="3" l="1"/>
  <c r="AL43" i="3"/>
  <c r="AJ43" i="3"/>
  <c r="AM43" i="3" s="1"/>
  <c r="AI44" i="3"/>
  <c r="AI50" i="7"/>
  <c r="AL49" i="7"/>
  <c r="AK49" i="7"/>
  <c r="AJ49" i="7"/>
  <c r="AL44" i="3" l="1"/>
  <c r="AK44" i="3"/>
  <c r="AJ44" i="3"/>
  <c r="AI45" i="3"/>
  <c r="AI51" i="7"/>
  <c r="AK50" i="7"/>
  <c r="AL50" i="7"/>
  <c r="AJ50" i="7"/>
  <c r="AM44" i="3" l="1"/>
  <c r="AL45" i="3"/>
  <c r="AK45" i="3"/>
  <c r="AJ45" i="3"/>
  <c r="AI46" i="3"/>
  <c r="AI52" i="7"/>
  <c r="AJ51" i="7"/>
  <c r="AK51" i="7"/>
  <c r="AL51" i="7"/>
  <c r="AM45" i="3" l="1"/>
  <c r="AL46" i="3"/>
  <c r="AK46" i="3"/>
  <c r="AJ46" i="3"/>
  <c r="AI47" i="3"/>
  <c r="AI53" i="7"/>
  <c r="AJ52" i="7"/>
  <c r="AL52" i="7"/>
  <c r="AK52" i="7"/>
  <c r="AM46" i="3" l="1"/>
  <c r="AK47" i="3"/>
  <c r="AL47" i="3"/>
  <c r="AJ47" i="3"/>
  <c r="AM47" i="3" s="1"/>
  <c r="AI48" i="3"/>
  <c r="AI54" i="7"/>
  <c r="AJ53" i="7"/>
  <c r="AL53" i="7"/>
  <c r="AK53" i="7"/>
  <c r="AL48" i="3" l="1"/>
  <c r="AK48" i="3"/>
  <c r="AJ48" i="3"/>
  <c r="AM48" i="3" s="1"/>
  <c r="AI49" i="3"/>
  <c r="AI55" i="7"/>
  <c r="AL54" i="7"/>
  <c r="AJ54" i="7"/>
  <c r="AK54" i="7"/>
  <c r="AL49" i="3" l="1"/>
  <c r="AK49" i="3"/>
  <c r="AJ49" i="3"/>
  <c r="AM49" i="3" s="1"/>
  <c r="AI50" i="3"/>
  <c r="AI56" i="7"/>
  <c r="AJ55" i="7"/>
  <c r="AK55" i="7"/>
  <c r="AL55" i="7"/>
  <c r="AK50" i="3" l="1"/>
  <c r="AL50" i="3"/>
  <c r="AJ50" i="3"/>
  <c r="AM50" i="3" s="1"/>
  <c r="AI51" i="3"/>
  <c r="AI57" i="7"/>
  <c r="AJ56" i="7"/>
  <c r="AK56" i="7"/>
  <c r="AL56" i="7"/>
  <c r="AK51" i="3" l="1"/>
  <c r="AL51" i="3"/>
  <c r="AJ51" i="3"/>
  <c r="AI52" i="3"/>
  <c r="AI58" i="7"/>
  <c r="AK57" i="7"/>
  <c r="AL57" i="7"/>
  <c r="AJ57" i="7"/>
  <c r="AM51" i="3" l="1"/>
  <c r="AL52" i="3"/>
  <c r="AK52" i="3"/>
  <c r="AJ52" i="3"/>
  <c r="AM52" i="3" s="1"/>
  <c r="AI53" i="3"/>
  <c r="AI59" i="7"/>
  <c r="AL58" i="7"/>
  <c r="AK58" i="7"/>
  <c r="AJ58" i="7"/>
  <c r="AL53" i="3" l="1"/>
  <c r="AK53" i="3"/>
  <c r="AJ53" i="3"/>
  <c r="AI54" i="3"/>
  <c r="AI60" i="7"/>
  <c r="AK59" i="7"/>
  <c r="AL59" i="7"/>
  <c r="AJ59" i="7"/>
  <c r="AM53" i="3" l="1"/>
  <c r="AK54" i="3"/>
  <c r="AL54" i="3"/>
  <c r="AJ54" i="3"/>
  <c r="AI55" i="3"/>
  <c r="AI61" i="7"/>
  <c r="AJ60" i="7"/>
  <c r="AK60" i="7"/>
  <c r="AL60" i="7"/>
  <c r="AM54" i="3" l="1"/>
  <c r="AK55" i="3"/>
  <c r="AL55" i="3"/>
  <c r="AJ55" i="3"/>
  <c r="AI56" i="3"/>
  <c r="AI62" i="7"/>
  <c r="AK61" i="7"/>
  <c r="AL61" i="7"/>
  <c r="AJ61" i="7"/>
  <c r="AL56" i="3" l="1"/>
  <c r="AK56" i="3"/>
  <c r="AM55" i="3"/>
  <c r="AJ56" i="3"/>
  <c r="AM56" i="3" s="1"/>
  <c r="AI57" i="3"/>
  <c r="AI63" i="7"/>
  <c r="AJ62" i="7"/>
  <c r="AL62" i="7"/>
  <c r="AK62" i="7"/>
  <c r="AL57" i="3" l="1"/>
  <c r="AK57" i="3"/>
  <c r="AJ57" i="3"/>
  <c r="AM57" i="3" s="1"/>
  <c r="AI58" i="3"/>
  <c r="AI64" i="7"/>
  <c r="AJ63" i="7"/>
  <c r="AL63" i="7"/>
  <c r="AK63" i="7"/>
  <c r="AK58" i="3" l="1"/>
  <c r="AL58" i="3"/>
  <c r="AJ58" i="3"/>
  <c r="AI59" i="3"/>
  <c r="AI65" i="7"/>
  <c r="AL64" i="7"/>
  <c r="AJ64" i="7"/>
  <c r="AK64" i="7"/>
  <c r="AK59" i="3" l="1"/>
  <c r="AL59" i="3"/>
  <c r="AM58" i="3"/>
  <c r="AJ59" i="3"/>
  <c r="AM59" i="3" s="1"/>
  <c r="AI60" i="3"/>
  <c r="AI66" i="7"/>
  <c r="AJ65" i="7"/>
  <c r="AL65" i="7"/>
  <c r="AK65" i="7"/>
  <c r="AL60" i="3" l="1"/>
  <c r="AK60" i="3"/>
  <c r="AJ60" i="3"/>
  <c r="AI61" i="3"/>
  <c r="AL66" i="7"/>
  <c r="AJ66" i="7"/>
  <c r="AK66" i="7"/>
  <c r="AL61" i="3" l="1"/>
  <c r="AK61" i="3"/>
  <c r="AM60" i="3"/>
  <c r="AJ61" i="3"/>
  <c r="AM61" i="3" s="1"/>
  <c r="AI62" i="3"/>
  <c r="AK62" i="3" l="1"/>
  <c r="AL62" i="3"/>
  <c r="AJ62" i="3"/>
  <c r="AM62" i="3" s="1"/>
  <c r="AI63" i="3"/>
  <c r="AK63" i="3" l="1"/>
  <c r="AL63" i="3"/>
  <c r="AJ63" i="3"/>
  <c r="AI64" i="3"/>
  <c r="AL64" i="3" l="1"/>
  <c r="AK64" i="3"/>
  <c r="AM63" i="3"/>
  <c r="AJ64" i="3"/>
  <c r="AI65" i="3"/>
  <c r="AL65" i="3" l="1"/>
  <c r="AK65" i="3"/>
  <c r="AM64" i="3"/>
  <c r="AJ65" i="3"/>
  <c r="AI66" i="3"/>
  <c r="AK66" i="3" l="1"/>
  <c r="AL66" i="3"/>
  <c r="AM65" i="3"/>
  <c r="AJ66" i="3"/>
  <c r="AM66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<sst xmlns="http://schemas.openxmlformats.org/spreadsheetml/2006/main" count="242" uniqueCount="108">
  <si>
    <t>Maturité</t>
  </si>
  <si>
    <t>Strike</t>
  </si>
  <si>
    <t>S0</t>
  </si>
  <si>
    <t>Put</t>
  </si>
  <si>
    <t>Date</t>
  </si>
  <si>
    <t>Euro Stoxx 50</t>
  </si>
  <si>
    <t>Taux 3M</t>
  </si>
  <si>
    <t>Prix Option</t>
  </si>
  <si>
    <t>VI</t>
  </si>
  <si>
    <t>Valeur Portefeuille</t>
  </si>
  <si>
    <t>Base 100 Indice</t>
  </si>
  <si>
    <t>Base 100 Stratégie</t>
  </si>
  <si>
    <t>Formule de BS</t>
  </si>
  <si>
    <t xml:space="preserve">Greeks de la stratégie : +1 indice + 1 Put (90%) </t>
  </si>
  <si>
    <t>Spot</t>
  </si>
  <si>
    <t>Indice seul</t>
  </si>
  <si>
    <t>P&amp;L Put seul</t>
  </si>
  <si>
    <t>Protective Put</t>
  </si>
  <si>
    <t>Type</t>
  </si>
  <si>
    <t>Put 90%</t>
  </si>
  <si>
    <t>Price</t>
  </si>
  <si>
    <t>Delta</t>
  </si>
  <si>
    <t>Gamma</t>
  </si>
  <si>
    <t>Vol</t>
  </si>
  <si>
    <t>Thêta</t>
  </si>
  <si>
    <t>T</t>
  </si>
  <si>
    <t>Vega</t>
  </si>
  <si>
    <t>r</t>
  </si>
  <si>
    <t>Matrice de Sensibilité (Approximation de Taylor)</t>
  </si>
  <si>
    <t>Estimation P&amp;L</t>
  </si>
  <si>
    <t>Variation volatilité implicite</t>
  </si>
  <si>
    <t>Performance de l'indice</t>
  </si>
  <si>
    <t>Matrice de Revalorisation (Black-Scholes)</t>
  </si>
  <si>
    <t>valeur "réelle" ou "exacte" du portefeuille. Au lieu d'estimer, on recalcule le prix de l'option pour chaque scénario de marché.</t>
  </si>
  <si>
    <t>Partie I — Point 3 :</t>
  </si>
  <si>
    <t xml:space="preserve">Rendement journalier de l'ES50 </t>
  </si>
  <si>
    <t>Analyse des performances :</t>
  </si>
  <si>
    <t xml:space="preserve">Rendement </t>
  </si>
  <si>
    <t>ES50</t>
  </si>
  <si>
    <t>Performance cumulée de l'ES50</t>
  </si>
  <si>
    <t>Volatilité quotidienne de l'ES50</t>
  </si>
  <si>
    <t>Vol annualisée</t>
  </si>
  <si>
    <t>Stratégie</t>
  </si>
  <si>
    <t>Performance stratégie 1 sur la période</t>
  </si>
  <si>
    <t>Indice</t>
  </si>
  <si>
    <t>Performance index sur la période</t>
  </si>
  <si>
    <t>Bilan</t>
  </si>
  <si>
    <t>Superformance Stratégie 1 vs Index</t>
  </si>
  <si>
    <t>Analyse de la volatilité implicite :</t>
  </si>
  <si>
    <t>Moyenne VI</t>
  </si>
  <si>
    <t xml:space="preserve">Max VI </t>
  </si>
  <si>
    <t>Min VI</t>
  </si>
  <si>
    <t>Formulas params follow S, K , vol , Maturity, risk free-rate</t>
  </si>
  <si>
    <t>Maturity</t>
  </si>
  <si>
    <t>Delta Put</t>
  </si>
  <si>
    <t>Delta Stratégie</t>
  </si>
  <si>
    <t>Gamma Stratégie</t>
  </si>
  <si>
    <t>Thêta Strategie</t>
  </si>
  <si>
    <t>Vega Stratégie</t>
  </si>
  <si>
    <t>P&amp;L Journalier</t>
  </si>
  <si>
    <t>P&amp;L Cumulé</t>
  </si>
  <si>
    <t>dSpot</t>
  </si>
  <si>
    <t>dvol</t>
  </si>
  <si>
    <t>dt</t>
  </si>
  <si>
    <t>Delta P&amp;L</t>
  </si>
  <si>
    <t>Gamma + Thêta P&amp;L</t>
  </si>
  <si>
    <t>Véga P&amp;L</t>
  </si>
  <si>
    <t>Somme P&amp;L Greeks</t>
  </si>
  <si>
    <t>Cumul Delta P&amp;L</t>
  </si>
  <si>
    <t>Cumul Gamma + Thêta P&amp;L</t>
  </si>
  <si>
    <t>Cumul Véga P&amp;L</t>
  </si>
  <si>
    <t>Cumuls P&amp;L Greeks</t>
  </si>
  <si>
    <t>Tout d'abord, on peut voir que la stratégie a généré un P&amp;L cumulé positif de 361,96 €. La stratégie est gagnante grâce à la hausse de l'indice d'environ 14 % sur la période. On voit aussi une augmentation assez forte de la volatilité implicite (16,9 points de pourcentage en 2 mois).</t>
  </si>
  <si>
    <t xml:space="preserve">On voit que la stratégie est majoritairement poussée par le delta qui commence a 0,82 et finit par tendre vers 1 plus on se rapproche de la maturité , ce qui veut dire que vers la fin la stratégie, </t>
  </si>
  <si>
    <t>On remarque que l'érosion du temps (Thêta) l'emporte sur les mouvements du marché car le cumul du Thêta + Gamma est négatif , cela est du a l'augmentation progressive du marché , le Gamma généré au quotidien a été trop faible.</t>
  </si>
  <si>
    <t>Pour finir Vega montre que sa contribution a ramené du P&amp;L positif, ce qui est logique vu qu'on est acheteur d'option (Long Véga) et qu'il y a eu cette forte augmentation de la volatilité implicite de 16,9 points. Mais on voit aussi que ce gain s'est essoufflé dans le temps : vu que l'indice a beaucoup monté sur la période, le Put 2100 s'est retrouvé très en dehors de la monnaie (Deep OTM). Du coup, sa sensibilité au Véga s'est effondrée, ce qui a bloqué les gains liés à la volatilité sur la fin de la stratégie.</t>
  </si>
  <si>
    <t>Put 80%</t>
  </si>
  <si>
    <t>Prix</t>
  </si>
  <si>
    <t>var expliquée</t>
  </si>
  <si>
    <t>Var explicative</t>
  </si>
  <si>
    <t>∆S</t>
  </si>
  <si>
    <t>∆ Put 90%</t>
  </si>
  <si>
    <t>∆ Put 80%</t>
  </si>
  <si>
    <t>P&amp;L journalier de la stratégie</t>
  </si>
  <si>
    <t>(∆S)^2</t>
  </si>
  <si>
    <t>P&amp;L Put 90%</t>
  </si>
  <si>
    <t>P&amp;Lput 80%</t>
  </si>
  <si>
    <t xml:space="preserve"> Put Spread + Indice</t>
  </si>
  <si>
    <t>Greeks de la stratégie : +1 indice + 1 Put (90%) - 1 Put (80%)</t>
  </si>
  <si>
    <t>Partie II — Point 3 :</t>
  </si>
  <si>
    <t>Performance stratégie 2 sur la période</t>
  </si>
  <si>
    <t>Superformance Stratégie 2 vs Index</t>
  </si>
  <si>
    <t>Vega Put 2100</t>
  </si>
  <si>
    <t>Vega Put 1900</t>
  </si>
  <si>
    <t>dvol_2100</t>
  </si>
  <si>
    <t>dvol_1900</t>
  </si>
  <si>
    <t>G+T Strat 1</t>
  </si>
  <si>
    <t>Tout d'abord, on peut voir que cette deuxième stratégie a généré un P&amp;L cumulé positif de 390,36 €. La stratégie est gagnante et fait même mieux que la première (+28 €), toujours grâce à la hausse de l'indice sur la période.</t>
  </si>
  <si>
    <t>Ensuite, si on regarde le Delta, il reste le moteur principal. Vu que le marché est bien monté, la stratégie a profité de la tendance haussière pour ramener l'essentiel des gains au fil du temps.</t>
  </si>
  <si>
    <t>La grosse différence vient du couple Gamma + Thêta. Dans la première stratégie, les mouvements du marché n'avaient pas compensé l'érosion du temps. Ici, c'est réglé : la vente du Put 1900 nous a permis d'encaisser du temps (Thêta) qui a financé le coût de notre Put 2100. Du coup, l'érosion du temps est devenue quasiment nulle au quotidien, ce qui a vraiment boosté notre P&amp;L global.</t>
  </si>
  <si>
    <t>Pour finir Vega montre une contribution beaucoup plus faible et stable. En combinant l'achat du Put 2100 et la vente du Put 1900, on a quasiment neutralisé notre exposition à la volatilité. Même avec la forte augmentation de la volatilité implicite sur la période, notre stratégie a très bien résisté (notamment au risque de Skew) et l'impact du Véga sur le P&amp;L a été presque effacé.</t>
  </si>
  <si>
    <t>Le put spread permet d'avoir une forme d'assurance moins cher donc un meilleur P&amp;L cependant la protection s'arrête si l'indice crash sous 1900 , cette stratégie est donc optimale en marché haussier comme dans ce cas</t>
  </si>
  <si>
    <t>P&amp;L Long indice only</t>
  </si>
  <si>
    <r>
      <t>estimation rapide du gain ou de la perte du portefeuille basée sur les </t>
    </r>
    <r>
      <rPr>
        <b/>
        <i/>
        <sz val="12"/>
        <color rgb="FF000000"/>
        <rFont val="Aptos Narrow"/>
        <family val="2"/>
        <scheme val="minor"/>
      </rPr>
      <t>Greeks</t>
    </r>
    <r>
      <rPr>
        <i/>
        <sz val="12"/>
        <color rgb="FF000000"/>
        <rFont val="Aptos Narrow"/>
        <family val="2"/>
        <scheme val="minor"/>
      </rPr>
      <t>.</t>
    </r>
  </si>
  <si>
    <t>Si long l'indice et long Put l'objectif c'est de se couvrir à la baisse grâce au put et de récupérer l'upside sur l'indice si tout va bien</t>
  </si>
  <si>
    <t>Partie II — Point 2 :</t>
  </si>
  <si>
    <t>Partie I — Point 2 :</t>
  </si>
  <si>
    <r>
      <t>∆</t>
    </r>
    <r>
      <rPr>
        <sz val="12"/>
        <color theme="0"/>
        <rFont val="Aptos Narrow"/>
        <family val="2"/>
      </rPr>
      <t>σ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</si>
</sst>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 * #,##0.00_)_ ;_ * \(#,##0.00\)_ ;_ * &quot;-&quot;??_)_ ;_ @_ "/>
    <numFmt numFmtId="165" formatCode="_-* #,##0.00\ _€_-;\-* #,##0.00\ _€_-;_-* &quot;-&quot;??\ _€_-;_-@_-"/>
    <numFmt numFmtId="166" formatCode="0.0%"/>
    <numFmt numFmtId="167" formatCode="_ * #,##0.00_)\ _€_ ;_ * \(#,##0.00\)\ _€_ ;_ * &quot;-&quot;??_)\ _€_ ;_ @_ "/>
    <numFmt numFmtId="168" formatCode="0.000"/>
    <numFmt numFmtId="169" formatCode="0.0000"/>
    <numFmt numFmtId="170" formatCode="0.00000"/>
    <numFmt numFmtId="171" formatCode="0.000000000"/>
  </numFmts>
  <fonts count="19"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rgb="FF000000"/>
      <name val="Arial Unicode MS"/>
      <family val="2"/>
    </font>
    <font>
      <sz val="12"/>
      <color rgb="FF000000"/>
      <name val="Aptos Narrow"/>
      <family val="2"/>
      <scheme val="minor"/>
    </font>
    <font>
      <b/>
      <sz val="12"/>
      <color rgb="FF00000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i/>
      <sz val="12"/>
      <color rgb="FF000000"/>
      <name val="Aptos Narrow"/>
      <family val="2"/>
      <scheme val="minor"/>
    </font>
    <font>
      <b/>
      <i/>
      <sz val="12"/>
      <color rgb="FF000000"/>
      <name val="Aptos Narrow"/>
      <family val="2"/>
      <scheme val="minor"/>
    </font>
    <font>
      <b/>
      <u/>
      <sz val="12"/>
      <color theme="1"/>
      <name val="Aptos Narrow"/>
      <family val="2"/>
      <scheme val="minor"/>
    </font>
    <font>
      <b/>
      <u/>
      <sz val="12"/>
      <color rgb="FFC00000"/>
      <name val="Aptos Narrow"/>
      <family val="2"/>
      <scheme val="minor"/>
    </font>
    <font>
      <b/>
      <i/>
      <u/>
      <sz val="12"/>
      <color rgb="FF000000"/>
      <name val="Aptos Narrow"/>
      <family val="2"/>
      <scheme val="minor"/>
    </font>
    <font>
      <u/>
      <sz val="12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0"/>
      <name val="Aptos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4" fillId="0" borderId="0"/>
    <xf numFmtId="165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145">
    <xf numFmtId="0" fontId="0" fillId="0" borderId="0" xfId="0"/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/>
    <xf numFmtId="14" fontId="0" fillId="2" borderId="0" xfId="0" applyNumberFormat="1" applyFill="1"/>
    <xf numFmtId="9" fontId="0" fillId="2" borderId="0" xfId="0" applyNumberFormat="1" applyFill="1" applyAlignment="1">
      <alignment horizontal="center" vertical="center"/>
    </xf>
    <xf numFmtId="164" fontId="0" fillId="2" borderId="0" xfId="1" applyFont="1" applyFill="1"/>
    <xf numFmtId="164" fontId="0" fillId="2" borderId="0" xfId="0" applyNumberFormat="1" applyFill="1"/>
    <xf numFmtId="14" fontId="0" fillId="2" borderId="0" xfId="0" applyNumberForma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7" fillId="2" borderId="0" xfId="0" applyFont="1" applyFill="1"/>
    <xf numFmtId="10" fontId="0" fillId="2" borderId="0" xfId="2" applyNumberFormat="1" applyFont="1" applyFill="1"/>
    <xf numFmtId="166" fontId="0" fillId="2" borderId="0" xfId="2" applyNumberFormat="1" applyFont="1" applyFill="1"/>
    <xf numFmtId="167" fontId="0" fillId="2" borderId="0" xfId="0" applyNumberFormat="1" applyFill="1"/>
    <xf numFmtId="0" fontId="0" fillId="2" borderId="9" xfId="0" applyFill="1" applyBorder="1"/>
    <xf numFmtId="0" fontId="0" fillId="2" borderId="21" xfId="0" applyFill="1" applyBorder="1"/>
    <xf numFmtId="165" fontId="0" fillId="2" borderId="0" xfId="0" applyNumberFormat="1" applyFill="1"/>
    <xf numFmtId="0" fontId="0" fillId="2" borderId="12" xfId="0" applyFill="1" applyBorder="1"/>
    <xf numFmtId="0" fontId="0" fillId="2" borderId="3" xfId="0" applyFill="1" applyBorder="1"/>
    <xf numFmtId="0" fontId="0" fillId="2" borderId="13" xfId="0" applyFill="1" applyBorder="1"/>
    <xf numFmtId="164" fontId="0" fillId="2" borderId="5" xfId="0" applyNumberFormat="1" applyFill="1" applyBorder="1"/>
    <xf numFmtId="168" fontId="0" fillId="2" borderId="5" xfId="0" applyNumberFormat="1" applyFill="1" applyBorder="1"/>
    <xf numFmtId="0" fontId="0" fillId="2" borderId="14" xfId="0" applyFill="1" applyBorder="1"/>
    <xf numFmtId="168" fontId="0" fillId="2" borderId="8" xfId="0" applyNumberFormat="1" applyFill="1" applyBorder="1"/>
    <xf numFmtId="0" fontId="6" fillId="2" borderId="0" xfId="0" applyFont="1" applyFill="1"/>
    <xf numFmtId="0" fontId="8" fillId="2" borderId="0" xfId="0" applyFont="1" applyFill="1"/>
    <xf numFmtId="0" fontId="10" fillId="2" borderId="0" xfId="0" applyFont="1" applyFill="1"/>
    <xf numFmtId="0" fontId="0" fillId="2" borderId="11" xfId="0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3" xfId="0" applyNumberFormat="1" applyFill="1" applyBorder="1" applyAlignment="1">
      <alignment horizontal="center"/>
    </xf>
    <xf numFmtId="2" fontId="0" fillId="2" borderId="4" xfId="0" applyNumberFormat="1" applyFill="1" applyBorder="1" applyAlignment="1">
      <alignment horizontal="center"/>
    </xf>
    <xf numFmtId="2" fontId="0" fillId="2" borderId="5" xfId="0" applyNumberFormat="1" applyFill="1" applyBorder="1" applyAlignment="1">
      <alignment horizontal="center"/>
    </xf>
    <xf numFmtId="2" fontId="0" fillId="2" borderId="6" xfId="0" applyNumberFormat="1" applyFill="1" applyBorder="1" applyAlignment="1">
      <alignment horizontal="center"/>
    </xf>
    <xf numFmtId="2" fontId="0" fillId="2" borderId="7" xfId="0" applyNumberFormat="1" applyFill="1" applyBorder="1" applyAlignment="1">
      <alignment horizontal="center"/>
    </xf>
    <xf numFmtId="2" fontId="0" fillId="2" borderId="8" xfId="0" applyNumberFormat="1" applyFill="1" applyBorder="1" applyAlignment="1">
      <alignment horizontal="center"/>
    </xf>
    <xf numFmtId="0" fontId="9" fillId="2" borderId="0" xfId="0" applyFont="1" applyFill="1"/>
    <xf numFmtId="0" fontId="4" fillId="2" borderId="0" xfId="3" applyFill="1" applyAlignment="1">
      <alignment horizontal="center" vertical="center"/>
    </xf>
    <xf numFmtId="14" fontId="4" fillId="2" borderId="0" xfId="3" applyNumberFormat="1" applyFill="1" applyAlignment="1">
      <alignment horizontal="center" vertical="center"/>
    </xf>
    <xf numFmtId="0" fontId="4" fillId="2" borderId="0" xfId="3" applyFill="1"/>
    <xf numFmtId="14" fontId="4" fillId="2" borderId="0" xfId="3" applyNumberFormat="1" applyFill="1"/>
    <xf numFmtId="9" fontId="4" fillId="2" borderId="0" xfId="3" applyNumberFormat="1" applyFill="1" applyAlignment="1">
      <alignment horizontal="center" vertical="center"/>
    </xf>
    <xf numFmtId="0" fontId="4" fillId="2" borderId="0" xfId="3" applyFill="1" applyAlignment="1">
      <alignment horizontal="center" vertical="center" wrapText="1"/>
    </xf>
    <xf numFmtId="165" fontId="0" fillId="2" borderId="0" xfId="4" applyFont="1" applyFill="1"/>
    <xf numFmtId="14" fontId="4" fillId="2" borderId="0" xfId="3" applyNumberFormat="1" applyFill="1" applyAlignment="1">
      <alignment horizontal="center" vertical="center" wrapText="1"/>
    </xf>
    <xf numFmtId="0" fontId="4" fillId="2" borderId="15" xfId="3" applyFill="1" applyBorder="1" applyAlignment="1">
      <alignment horizontal="center" vertical="center" wrapText="1"/>
    </xf>
    <xf numFmtId="0" fontId="4" fillId="2" borderId="16" xfId="3" applyFill="1" applyBorder="1" applyAlignment="1">
      <alignment horizontal="center" vertical="center" wrapText="1"/>
    </xf>
    <xf numFmtId="10" fontId="0" fillId="2" borderId="0" xfId="5" applyNumberFormat="1" applyFont="1" applyFill="1"/>
    <xf numFmtId="166" fontId="0" fillId="2" borderId="0" xfId="5" applyNumberFormat="1" applyFont="1" applyFill="1"/>
    <xf numFmtId="165" fontId="4" fillId="2" borderId="0" xfId="3" applyNumberFormat="1" applyFill="1"/>
    <xf numFmtId="0" fontId="4" fillId="2" borderId="17" xfId="3" applyFill="1" applyBorder="1"/>
    <xf numFmtId="0" fontId="4" fillId="2" borderId="18" xfId="3" applyFill="1" applyBorder="1"/>
    <xf numFmtId="165" fontId="4" fillId="2" borderId="17" xfId="3" applyNumberFormat="1" applyFill="1" applyBorder="1"/>
    <xf numFmtId="165" fontId="4" fillId="2" borderId="18" xfId="3" applyNumberFormat="1" applyFill="1" applyBorder="1"/>
    <xf numFmtId="166" fontId="4" fillId="2" borderId="0" xfId="3" applyNumberFormat="1" applyFill="1"/>
    <xf numFmtId="165" fontId="4" fillId="2" borderId="19" xfId="3" applyNumberFormat="1" applyFill="1" applyBorder="1"/>
    <xf numFmtId="165" fontId="4" fillId="2" borderId="20" xfId="3" applyNumberFormat="1" applyFill="1" applyBorder="1"/>
    <xf numFmtId="0" fontId="3" fillId="2" borderId="0" xfId="3" applyFont="1" applyFill="1" applyAlignment="1">
      <alignment horizontal="center" vertical="center" wrapText="1"/>
    </xf>
    <xf numFmtId="166" fontId="0" fillId="2" borderId="0" xfId="0" applyNumberFormat="1" applyFill="1"/>
    <xf numFmtId="0" fontId="0" fillId="2" borderId="0" xfId="4" applyNumberFormat="1" applyFont="1" applyFill="1"/>
    <xf numFmtId="0" fontId="0" fillId="2" borderId="0" xfId="5" applyNumberFormat="1" applyFont="1" applyFill="1"/>
    <xf numFmtId="0" fontId="4" fillId="2" borderId="20" xfId="3" applyFill="1" applyBorder="1"/>
    <xf numFmtId="14" fontId="12" fillId="2" borderId="0" xfId="0" applyNumberFormat="1" applyFont="1" applyFill="1"/>
    <xf numFmtId="0" fontId="0" fillId="2" borderId="5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14" fontId="0" fillId="2" borderId="21" xfId="0" applyNumberFormat="1" applyFill="1" applyBorder="1" applyAlignment="1">
      <alignment horizontal="center"/>
    </xf>
    <xf numFmtId="14" fontId="0" fillId="2" borderId="13" xfId="0" applyNumberFormat="1" applyFill="1" applyBorder="1" applyAlignment="1">
      <alignment horizontal="center"/>
    </xf>
    <xf numFmtId="14" fontId="0" fillId="2" borderId="14" xfId="0" applyNumberFormat="1" applyFill="1" applyBorder="1" applyAlignment="1">
      <alignment horizontal="center"/>
    </xf>
    <xf numFmtId="0" fontId="7" fillId="3" borderId="0" xfId="0" applyFont="1" applyFill="1"/>
    <xf numFmtId="0" fontId="13" fillId="0" borderId="0" xfId="0" applyFont="1"/>
    <xf numFmtId="0" fontId="14" fillId="3" borderId="0" xfId="0" applyFont="1" applyFill="1"/>
    <xf numFmtId="0" fontId="13" fillId="3" borderId="0" xfId="0" applyFont="1" applyFill="1"/>
    <xf numFmtId="0" fontId="7" fillId="2" borderId="0" xfId="0" applyFont="1" applyFill="1" applyAlignment="1">
      <alignment vertical="center"/>
    </xf>
    <xf numFmtId="166" fontId="7" fillId="3" borderId="0" xfId="0" applyNumberFormat="1" applyFont="1" applyFill="1"/>
    <xf numFmtId="14" fontId="15" fillId="4" borderId="0" xfId="0" applyNumberFormat="1" applyFont="1" applyFill="1"/>
    <xf numFmtId="0" fontId="9" fillId="6" borderId="4" xfId="0" applyFont="1" applyFill="1" applyBorder="1"/>
    <xf numFmtId="0" fontId="9" fillId="6" borderId="6" xfId="0" applyFont="1" applyFill="1" applyBorder="1"/>
    <xf numFmtId="2" fontId="0" fillId="5" borderId="13" xfId="0" applyNumberFormat="1" applyFill="1" applyBorder="1"/>
    <xf numFmtId="168" fontId="0" fillId="5" borderId="13" xfId="0" applyNumberFormat="1" applyFill="1" applyBorder="1"/>
    <xf numFmtId="2" fontId="0" fillId="5" borderId="14" xfId="0" applyNumberFormat="1" applyFill="1" applyBorder="1"/>
    <xf numFmtId="0" fontId="0" fillId="6" borderId="9" xfId="0" applyFill="1" applyBorder="1"/>
    <xf numFmtId="0" fontId="0" fillId="5" borderId="21" xfId="0" applyFill="1" applyBorder="1"/>
    <xf numFmtId="168" fontId="0" fillId="5" borderId="5" xfId="0" applyNumberFormat="1" applyFill="1" applyBorder="1"/>
    <xf numFmtId="2" fontId="0" fillId="5" borderId="5" xfId="0" applyNumberFormat="1" applyFill="1" applyBorder="1"/>
    <xf numFmtId="2" fontId="0" fillId="5" borderId="8" xfId="0" applyNumberFormat="1" applyFill="1" applyBorder="1"/>
    <xf numFmtId="2" fontId="0" fillId="2" borderId="0" xfId="0" applyNumberFormat="1" applyFill="1"/>
    <xf numFmtId="2" fontId="0" fillId="5" borderId="3" xfId="0" applyNumberFormat="1" applyFill="1" applyBorder="1"/>
    <xf numFmtId="0" fontId="9" fillId="6" borderId="12" xfId="0" applyFont="1" applyFill="1" applyBorder="1"/>
    <xf numFmtId="0" fontId="9" fillId="6" borderId="13" xfId="0" applyFont="1" applyFill="1" applyBorder="1"/>
    <xf numFmtId="0" fontId="9" fillId="6" borderId="14" xfId="0" applyFont="1" applyFill="1" applyBorder="1"/>
    <xf numFmtId="9" fontId="0" fillId="7" borderId="9" xfId="2" applyFont="1" applyFill="1" applyBorder="1" applyAlignment="1">
      <alignment horizontal="center"/>
    </xf>
    <xf numFmtId="9" fontId="0" fillId="7" borderId="10" xfId="2" applyFont="1" applyFill="1" applyBorder="1" applyAlignment="1">
      <alignment horizontal="center"/>
    </xf>
    <xf numFmtId="9" fontId="0" fillId="7" borderId="11" xfId="2" applyFont="1" applyFill="1" applyBorder="1" applyAlignment="1">
      <alignment horizontal="center"/>
    </xf>
    <xf numFmtId="0" fontId="9" fillId="8" borderId="11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9" fillId="8" borderId="12" xfId="0" applyFont="1" applyFill="1" applyBorder="1"/>
    <xf numFmtId="0" fontId="9" fillId="8" borderId="13" xfId="0" applyFont="1" applyFill="1" applyBorder="1"/>
    <xf numFmtId="0" fontId="9" fillId="8" borderId="14" xfId="0" applyFont="1" applyFill="1" applyBorder="1"/>
    <xf numFmtId="0" fontId="9" fillId="8" borderId="21" xfId="0" applyFont="1" applyFill="1" applyBorder="1"/>
    <xf numFmtId="0" fontId="9" fillId="8" borderId="21" xfId="0" applyFont="1" applyFill="1" applyBorder="1" applyAlignment="1">
      <alignment horizontal="center"/>
    </xf>
    <xf numFmtId="9" fontId="0" fillId="7" borderId="1" xfId="2" applyFont="1" applyFill="1" applyBorder="1" applyAlignment="1">
      <alignment horizontal="center"/>
    </xf>
    <xf numFmtId="9" fontId="0" fillId="7" borderId="4" xfId="2" applyFont="1" applyFill="1" applyBorder="1" applyAlignment="1">
      <alignment horizontal="center"/>
    </xf>
    <xf numFmtId="9" fontId="0" fillId="7" borderId="6" xfId="2" applyFont="1" applyFill="1" applyBorder="1" applyAlignment="1">
      <alignment horizontal="center"/>
    </xf>
    <xf numFmtId="9" fontId="0" fillId="7" borderId="2" xfId="2" applyFont="1" applyFill="1" applyBorder="1" applyAlignment="1">
      <alignment horizontal="center"/>
    </xf>
    <xf numFmtId="9" fontId="0" fillId="7" borderId="3" xfId="2" applyFont="1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170" fontId="0" fillId="5" borderId="13" xfId="0" applyNumberFormat="1" applyFill="1" applyBorder="1" applyAlignment="1">
      <alignment horizontal="center"/>
    </xf>
    <xf numFmtId="2" fontId="0" fillId="5" borderId="14" xfId="0" applyNumberFormat="1" applyFill="1" applyBorder="1" applyAlignment="1">
      <alignment horizontal="center"/>
    </xf>
    <xf numFmtId="2" fontId="0" fillId="5" borderId="12" xfId="0" applyNumberFormat="1" applyFill="1" applyBorder="1"/>
    <xf numFmtId="170" fontId="0" fillId="5" borderId="13" xfId="0" applyNumberFormat="1" applyFill="1" applyBorder="1"/>
    <xf numFmtId="0" fontId="8" fillId="3" borderId="0" xfId="0" applyFont="1" applyFill="1"/>
    <xf numFmtId="171" fontId="6" fillId="2" borderId="0" xfId="0" applyNumberFormat="1" applyFont="1" applyFill="1"/>
    <xf numFmtId="0" fontId="16" fillId="0" borderId="0" xfId="0" applyFont="1"/>
    <xf numFmtId="0" fontId="2" fillId="2" borderId="0" xfId="3" applyFont="1" applyFill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0" fontId="1" fillId="2" borderId="0" xfId="3" applyFont="1" applyFill="1" applyAlignment="1">
      <alignment wrapText="1"/>
    </xf>
    <xf numFmtId="14" fontId="15" fillId="0" borderId="0" xfId="0" applyNumberFormat="1" applyFont="1"/>
    <xf numFmtId="0" fontId="0" fillId="2" borderId="1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5" xfId="0" applyFill="1" applyBorder="1"/>
    <xf numFmtId="168" fontId="0" fillId="2" borderId="0" xfId="0" applyNumberFormat="1" applyFill="1"/>
    <xf numFmtId="169" fontId="0" fillId="2" borderId="0" xfId="0" applyNumberFormat="1" applyFill="1"/>
    <xf numFmtId="169" fontId="0" fillId="2" borderId="5" xfId="0" applyNumberFormat="1" applyFill="1" applyBorder="1"/>
    <xf numFmtId="0" fontId="0" fillId="2" borderId="6" xfId="0" applyFill="1" applyBorder="1"/>
    <xf numFmtId="168" fontId="0" fillId="2" borderId="7" xfId="0" applyNumberFormat="1" applyFill="1" applyBorder="1"/>
    <xf numFmtId="0" fontId="17" fillId="0" borderId="0" xfId="0" applyFont="1"/>
    <xf numFmtId="0" fontId="17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165" fontId="17" fillId="0" borderId="0" xfId="0" applyNumberFormat="1" applyFont="1"/>
    <xf numFmtId="166" fontId="17" fillId="0" borderId="0" xfId="0" applyNumberFormat="1" applyFont="1"/>
    <xf numFmtId="0" fontId="9" fillId="8" borderId="9" xfId="0" applyFont="1" applyFill="1" applyBorder="1" applyAlignment="1">
      <alignment horizontal="center"/>
    </xf>
    <xf numFmtId="0" fontId="9" fillId="8" borderId="10" xfId="0" applyFont="1" applyFill="1" applyBorder="1" applyAlignment="1">
      <alignment horizontal="center"/>
    </xf>
    <xf numFmtId="0" fontId="9" fillId="8" borderId="11" xfId="0" applyFont="1" applyFill="1" applyBorder="1" applyAlignment="1">
      <alignment horizontal="center"/>
    </xf>
    <xf numFmtId="0" fontId="9" fillId="8" borderId="12" xfId="0" applyFont="1" applyFill="1" applyBorder="1" applyAlignment="1">
      <alignment horizontal="center" vertical="center" wrapText="1"/>
    </xf>
    <xf numFmtId="0" fontId="9" fillId="8" borderId="13" xfId="0" applyFont="1" applyFill="1" applyBorder="1" applyAlignment="1">
      <alignment horizontal="center" vertical="center" wrapText="1"/>
    </xf>
    <xf numFmtId="0" fontId="9" fillId="8" borderId="14" xfId="0" applyFont="1" applyFill="1" applyBorder="1" applyAlignment="1">
      <alignment horizontal="center" vertical="center" wrapText="1"/>
    </xf>
    <xf numFmtId="0" fontId="9" fillId="8" borderId="1" xfId="0" applyFont="1" applyFill="1" applyBorder="1" applyAlignment="1">
      <alignment horizontal="center" vertical="center" wrapText="1"/>
    </xf>
    <xf numFmtId="0" fontId="9" fillId="8" borderId="4" xfId="0" applyFont="1" applyFill="1" applyBorder="1" applyAlignment="1">
      <alignment horizontal="center" vertical="center" wrapText="1"/>
    </xf>
    <xf numFmtId="0" fontId="9" fillId="8" borderId="6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</cellXfs>
  <cellStyles count="6">
    <cellStyle name="Comma 2" xfId="4" xr:uid="{5129DDCA-EC28-4600-97C4-F1A1A1BD38DD}"/>
    <cellStyle name="Milliers" xfId="1" builtinId="3"/>
    <cellStyle name="Normal" xfId="0" builtinId="0"/>
    <cellStyle name="Normal 2" xfId="3" xr:uid="{FA71C6ED-2273-4152-AEAF-460B8EB581DD}"/>
    <cellStyle name="Percent 2" xfId="5" xr:uid="{9190D57F-8867-44A4-B058-72C7A1AD16C8}"/>
    <cellStyle name="Pourcentag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Profil</a:t>
            </a:r>
            <a:r>
              <a:rPr lang="fr-FR" b="1" baseline="0"/>
              <a:t> de </a:t>
            </a:r>
            <a:r>
              <a:rPr lang="fr-FR" b="1"/>
              <a:t>P&amp;L à maturité – Indice vs Protective Put </a:t>
            </a:r>
            <a:endParaRPr lang="fr-FR" sz="11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'Stress Test de la stratégie 1'!$AJ$5</c:f>
              <c:strCache>
                <c:ptCount val="1"/>
                <c:pt idx="0">
                  <c:v>Indice seul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'Stress Test de la stratégie 1'!$AI$6:$AI$72</c:f>
              <c:numCache>
                <c:formatCode>General</c:formatCode>
                <c:ptCount val="67"/>
                <c:pt idx="0">
                  <c:v>1500</c:v>
                </c:pt>
                <c:pt idx="1">
                  <c:v>1525</c:v>
                </c:pt>
                <c:pt idx="2">
                  <c:v>1550</c:v>
                </c:pt>
                <c:pt idx="3">
                  <c:v>1575</c:v>
                </c:pt>
                <c:pt idx="4">
                  <c:v>1600</c:v>
                </c:pt>
                <c:pt idx="5">
                  <c:v>1625</c:v>
                </c:pt>
                <c:pt idx="6">
                  <c:v>1650</c:v>
                </c:pt>
                <c:pt idx="7">
                  <c:v>1675</c:v>
                </c:pt>
                <c:pt idx="8">
                  <c:v>1700</c:v>
                </c:pt>
                <c:pt idx="9">
                  <c:v>1725</c:v>
                </c:pt>
                <c:pt idx="10">
                  <c:v>1750</c:v>
                </c:pt>
                <c:pt idx="11">
                  <c:v>1775</c:v>
                </c:pt>
                <c:pt idx="12">
                  <c:v>1800</c:v>
                </c:pt>
                <c:pt idx="13">
                  <c:v>1825</c:v>
                </c:pt>
                <c:pt idx="14">
                  <c:v>1850</c:v>
                </c:pt>
                <c:pt idx="15">
                  <c:v>1875</c:v>
                </c:pt>
                <c:pt idx="16">
                  <c:v>1900</c:v>
                </c:pt>
                <c:pt idx="17">
                  <c:v>1925</c:v>
                </c:pt>
                <c:pt idx="18">
                  <c:v>1950</c:v>
                </c:pt>
                <c:pt idx="19">
                  <c:v>1975</c:v>
                </c:pt>
                <c:pt idx="20">
                  <c:v>2000</c:v>
                </c:pt>
                <c:pt idx="21">
                  <c:v>2025</c:v>
                </c:pt>
                <c:pt idx="22">
                  <c:v>2050</c:v>
                </c:pt>
                <c:pt idx="23">
                  <c:v>2075</c:v>
                </c:pt>
                <c:pt idx="24">
                  <c:v>2100</c:v>
                </c:pt>
                <c:pt idx="25">
                  <c:v>2125</c:v>
                </c:pt>
                <c:pt idx="26">
                  <c:v>2150</c:v>
                </c:pt>
                <c:pt idx="27">
                  <c:v>2175</c:v>
                </c:pt>
                <c:pt idx="28">
                  <c:v>2200</c:v>
                </c:pt>
                <c:pt idx="29">
                  <c:v>2225</c:v>
                </c:pt>
                <c:pt idx="30">
                  <c:v>2250</c:v>
                </c:pt>
                <c:pt idx="31">
                  <c:v>2275</c:v>
                </c:pt>
                <c:pt idx="32">
                  <c:v>2300</c:v>
                </c:pt>
                <c:pt idx="33">
                  <c:v>2325</c:v>
                </c:pt>
                <c:pt idx="34">
                  <c:v>2350</c:v>
                </c:pt>
                <c:pt idx="35">
                  <c:v>2375</c:v>
                </c:pt>
                <c:pt idx="36">
                  <c:v>2400</c:v>
                </c:pt>
                <c:pt idx="37">
                  <c:v>2425</c:v>
                </c:pt>
                <c:pt idx="38">
                  <c:v>2450</c:v>
                </c:pt>
                <c:pt idx="39">
                  <c:v>2475</c:v>
                </c:pt>
                <c:pt idx="40">
                  <c:v>2500</c:v>
                </c:pt>
                <c:pt idx="41">
                  <c:v>2525</c:v>
                </c:pt>
                <c:pt idx="42">
                  <c:v>2550</c:v>
                </c:pt>
                <c:pt idx="43">
                  <c:v>2575</c:v>
                </c:pt>
                <c:pt idx="44">
                  <c:v>2600</c:v>
                </c:pt>
                <c:pt idx="45">
                  <c:v>2625</c:v>
                </c:pt>
                <c:pt idx="46">
                  <c:v>2650</c:v>
                </c:pt>
                <c:pt idx="47">
                  <c:v>2675</c:v>
                </c:pt>
                <c:pt idx="48">
                  <c:v>2700</c:v>
                </c:pt>
                <c:pt idx="49">
                  <c:v>2725</c:v>
                </c:pt>
                <c:pt idx="50">
                  <c:v>2750</c:v>
                </c:pt>
                <c:pt idx="51">
                  <c:v>2775</c:v>
                </c:pt>
                <c:pt idx="52">
                  <c:v>2800</c:v>
                </c:pt>
                <c:pt idx="53">
                  <c:v>2825</c:v>
                </c:pt>
                <c:pt idx="54">
                  <c:v>2850</c:v>
                </c:pt>
                <c:pt idx="55">
                  <c:v>2875</c:v>
                </c:pt>
                <c:pt idx="56">
                  <c:v>2900</c:v>
                </c:pt>
                <c:pt idx="57">
                  <c:v>2925</c:v>
                </c:pt>
                <c:pt idx="58">
                  <c:v>2950</c:v>
                </c:pt>
                <c:pt idx="59">
                  <c:v>2975</c:v>
                </c:pt>
                <c:pt idx="60">
                  <c:v>3000</c:v>
                </c:pt>
              </c:numCache>
            </c:numRef>
          </c:cat>
          <c:val>
            <c:numRef>
              <c:f>'Stress Test de la stratégie 1'!$AJ$6:$AJ$72</c:f>
              <c:numCache>
                <c:formatCode>General</c:formatCode>
                <c:ptCount val="67"/>
                <c:pt idx="0">
                  <c:v>-901.69</c:v>
                </c:pt>
                <c:pt idx="1">
                  <c:v>-876.69</c:v>
                </c:pt>
                <c:pt idx="2">
                  <c:v>-851.69</c:v>
                </c:pt>
                <c:pt idx="3">
                  <c:v>-826.69</c:v>
                </c:pt>
                <c:pt idx="4">
                  <c:v>-801.69</c:v>
                </c:pt>
                <c:pt idx="5">
                  <c:v>-776.69</c:v>
                </c:pt>
                <c:pt idx="6">
                  <c:v>-751.69</c:v>
                </c:pt>
                <c:pt idx="7">
                  <c:v>-726.69</c:v>
                </c:pt>
                <c:pt idx="8">
                  <c:v>-701.69</c:v>
                </c:pt>
                <c:pt idx="9">
                  <c:v>-676.69</c:v>
                </c:pt>
                <c:pt idx="10">
                  <c:v>-651.69000000000005</c:v>
                </c:pt>
                <c:pt idx="11">
                  <c:v>-626.69000000000005</c:v>
                </c:pt>
                <c:pt idx="12">
                  <c:v>-601.69000000000005</c:v>
                </c:pt>
                <c:pt idx="13">
                  <c:v>-576.69000000000005</c:v>
                </c:pt>
                <c:pt idx="14">
                  <c:v>-551.69000000000005</c:v>
                </c:pt>
                <c:pt idx="15">
                  <c:v>-526.69000000000005</c:v>
                </c:pt>
                <c:pt idx="16">
                  <c:v>-501.69000000000005</c:v>
                </c:pt>
                <c:pt idx="17">
                  <c:v>-476.69000000000005</c:v>
                </c:pt>
                <c:pt idx="18">
                  <c:v>-451.69000000000005</c:v>
                </c:pt>
                <c:pt idx="19">
                  <c:v>-426.69000000000005</c:v>
                </c:pt>
                <c:pt idx="20">
                  <c:v>-401.69000000000005</c:v>
                </c:pt>
                <c:pt idx="21">
                  <c:v>-376.69000000000005</c:v>
                </c:pt>
                <c:pt idx="22">
                  <c:v>-351.69000000000005</c:v>
                </c:pt>
                <c:pt idx="23">
                  <c:v>-326.69000000000005</c:v>
                </c:pt>
                <c:pt idx="24">
                  <c:v>-301.69000000000005</c:v>
                </c:pt>
                <c:pt idx="25">
                  <c:v>-276.69000000000005</c:v>
                </c:pt>
                <c:pt idx="26">
                  <c:v>-251.69000000000005</c:v>
                </c:pt>
                <c:pt idx="27">
                  <c:v>-226.69000000000005</c:v>
                </c:pt>
                <c:pt idx="28">
                  <c:v>-201.69000000000005</c:v>
                </c:pt>
                <c:pt idx="29">
                  <c:v>-176.69000000000005</c:v>
                </c:pt>
                <c:pt idx="30">
                  <c:v>-151.69000000000005</c:v>
                </c:pt>
                <c:pt idx="31">
                  <c:v>-126.69000000000005</c:v>
                </c:pt>
                <c:pt idx="32">
                  <c:v>-101.69000000000005</c:v>
                </c:pt>
                <c:pt idx="33">
                  <c:v>-76.690000000000055</c:v>
                </c:pt>
                <c:pt idx="34">
                  <c:v>-51.690000000000055</c:v>
                </c:pt>
                <c:pt idx="35">
                  <c:v>-26.690000000000055</c:v>
                </c:pt>
                <c:pt idx="36">
                  <c:v>-1.6900000000000546</c:v>
                </c:pt>
                <c:pt idx="37">
                  <c:v>23.309999999999945</c:v>
                </c:pt>
                <c:pt idx="38">
                  <c:v>48.309999999999945</c:v>
                </c:pt>
                <c:pt idx="39">
                  <c:v>73.309999999999945</c:v>
                </c:pt>
                <c:pt idx="40">
                  <c:v>98.309999999999945</c:v>
                </c:pt>
                <c:pt idx="41">
                  <c:v>123.30999999999995</c:v>
                </c:pt>
                <c:pt idx="42">
                  <c:v>148.30999999999995</c:v>
                </c:pt>
                <c:pt idx="43">
                  <c:v>173.30999999999995</c:v>
                </c:pt>
                <c:pt idx="44">
                  <c:v>198.30999999999995</c:v>
                </c:pt>
                <c:pt idx="45">
                  <c:v>223.30999999999995</c:v>
                </c:pt>
                <c:pt idx="46">
                  <c:v>248.30999999999995</c:v>
                </c:pt>
                <c:pt idx="47">
                  <c:v>273.30999999999995</c:v>
                </c:pt>
                <c:pt idx="48">
                  <c:v>298.30999999999995</c:v>
                </c:pt>
                <c:pt idx="49">
                  <c:v>323.30999999999995</c:v>
                </c:pt>
                <c:pt idx="50">
                  <c:v>348.30999999999995</c:v>
                </c:pt>
                <c:pt idx="51">
                  <c:v>373.30999999999995</c:v>
                </c:pt>
                <c:pt idx="52">
                  <c:v>398.30999999999995</c:v>
                </c:pt>
                <c:pt idx="53">
                  <c:v>423.30999999999995</c:v>
                </c:pt>
                <c:pt idx="54">
                  <c:v>448.30999999999995</c:v>
                </c:pt>
                <c:pt idx="55">
                  <c:v>473.30999999999995</c:v>
                </c:pt>
                <c:pt idx="56">
                  <c:v>498.30999999999995</c:v>
                </c:pt>
                <c:pt idx="57">
                  <c:v>523.30999999999995</c:v>
                </c:pt>
                <c:pt idx="58">
                  <c:v>548.30999999999995</c:v>
                </c:pt>
                <c:pt idx="59">
                  <c:v>573.30999999999995</c:v>
                </c:pt>
                <c:pt idx="60">
                  <c:v>598.30999999999995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BC-4C68-8FD6-B9D7226507ED}"/>
            </c:ext>
          </c:extLst>
        </c:ser>
        <c:ser>
          <c:idx val="1"/>
          <c:order val="1"/>
          <c:tx>
            <c:strRef>
              <c:f>'Stress Test de la stratégie 1'!$AL$5</c:f>
              <c:strCache>
                <c:ptCount val="1"/>
                <c:pt idx="0">
                  <c:v>Protective Put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'Stress Test de la stratégie 1'!$AI$6:$AI$72</c:f>
              <c:numCache>
                <c:formatCode>General</c:formatCode>
                <c:ptCount val="67"/>
                <c:pt idx="0">
                  <c:v>1500</c:v>
                </c:pt>
                <c:pt idx="1">
                  <c:v>1525</c:v>
                </c:pt>
                <c:pt idx="2">
                  <c:v>1550</c:v>
                </c:pt>
                <c:pt idx="3">
                  <c:v>1575</c:v>
                </c:pt>
                <c:pt idx="4">
                  <c:v>1600</c:v>
                </c:pt>
                <c:pt idx="5">
                  <c:v>1625</c:v>
                </c:pt>
                <c:pt idx="6">
                  <c:v>1650</c:v>
                </c:pt>
                <c:pt idx="7">
                  <c:v>1675</c:v>
                </c:pt>
                <c:pt idx="8">
                  <c:v>1700</c:v>
                </c:pt>
                <c:pt idx="9">
                  <c:v>1725</c:v>
                </c:pt>
                <c:pt idx="10">
                  <c:v>1750</c:v>
                </c:pt>
                <c:pt idx="11">
                  <c:v>1775</c:v>
                </c:pt>
                <c:pt idx="12">
                  <c:v>1800</c:v>
                </c:pt>
                <c:pt idx="13">
                  <c:v>1825</c:v>
                </c:pt>
                <c:pt idx="14">
                  <c:v>1850</c:v>
                </c:pt>
                <c:pt idx="15">
                  <c:v>1875</c:v>
                </c:pt>
                <c:pt idx="16">
                  <c:v>1900</c:v>
                </c:pt>
                <c:pt idx="17">
                  <c:v>1925</c:v>
                </c:pt>
                <c:pt idx="18">
                  <c:v>1950</c:v>
                </c:pt>
                <c:pt idx="19">
                  <c:v>1975</c:v>
                </c:pt>
                <c:pt idx="20">
                  <c:v>2000</c:v>
                </c:pt>
                <c:pt idx="21">
                  <c:v>2025</c:v>
                </c:pt>
                <c:pt idx="22">
                  <c:v>2050</c:v>
                </c:pt>
                <c:pt idx="23">
                  <c:v>2075</c:v>
                </c:pt>
                <c:pt idx="24">
                  <c:v>2100</c:v>
                </c:pt>
                <c:pt idx="25">
                  <c:v>2125</c:v>
                </c:pt>
                <c:pt idx="26">
                  <c:v>2150</c:v>
                </c:pt>
                <c:pt idx="27">
                  <c:v>2175</c:v>
                </c:pt>
                <c:pt idx="28">
                  <c:v>2200</c:v>
                </c:pt>
                <c:pt idx="29">
                  <c:v>2225</c:v>
                </c:pt>
                <c:pt idx="30">
                  <c:v>2250</c:v>
                </c:pt>
                <c:pt idx="31">
                  <c:v>2275</c:v>
                </c:pt>
                <c:pt idx="32">
                  <c:v>2300</c:v>
                </c:pt>
                <c:pt idx="33">
                  <c:v>2325</c:v>
                </c:pt>
                <c:pt idx="34">
                  <c:v>2350</c:v>
                </c:pt>
                <c:pt idx="35">
                  <c:v>2375</c:v>
                </c:pt>
                <c:pt idx="36">
                  <c:v>2400</c:v>
                </c:pt>
                <c:pt idx="37">
                  <c:v>2425</c:v>
                </c:pt>
                <c:pt idx="38">
                  <c:v>2450</c:v>
                </c:pt>
                <c:pt idx="39">
                  <c:v>2475</c:v>
                </c:pt>
                <c:pt idx="40">
                  <c:v>2500</c:v>
                </c:pt>
                <c:pt idx="41">
                  <c:v>2525</c:v>
                </c:pt>
                <c:pt idx="42">
                  <c:v>2550</c:v>
                </c:pt>
                <c:pt idx="43">
                  <c:v>2575</c:v>
                </c:pt>
                <c:pt idx="44">
                  <c:v>2600</c:v>
                </c:pt>
                <c:pt idx="45">
                  <c:v>2625</c:v>
                </c:pt>
                <c:pt idx="46">
                  <c:v>2650</c:v>
                </c:pt>
                <c:pt idx="47">
                  <c:v>2675</c:v>
                </c:pt>
                <c:pt idx="48">
                  <c:v>2700</c:v>
                </c:pt>
                <c:pt idx="49">
                  <c:v>2725</c:v>
                </c:pt>
                <c:pt idx="50">
                  <c:v>2750</c:v>
                </c:pt>
                <c:pt idx="51">
                  <c:v>2775</c:v>
                </c:pt>
                <c:pt idx="52">
                  <c:v>2800</c:v>
                </c:pt>
                <c:pt idx="53">
                  <c:v>2825</c:v>
                </c:pt>
                <c:pt idx="54">
                  <c:v>2850</c:v>
                </c:pt>
                <c:pt idx="55">
                  <c:v>2875</c:v>
                </c:pt>
                <c:pt idx="56">
                  <c:v>2900</c:v>
                </c:pt>
                <c:pt idx="57">
                  <c:v>2925</c:v>
                </c:pt>
                <c:pt idx="58">
                  <c:v>2950</c:v>
                </c:pt>
                <c:pt idx="59">
                  <c:v>2975</c:v>
                </c:pt>
                <c:pt idx="60">
                  <c:v>3000</c:v>
                </c:pt>
              </c:numCache>
            </c:numRef>
          </c:cat>
          <c:val>
            <c:numRef>
              <c:f>'Stress Test de la stratégie 1'!$AL$6:$AL$72</c:f>
              <c:numCache>
                <c:formatCode>_-* #\ ##0.00\ _€_-;\-* #\ ##0.00\ _€_-;_-* "-"??\ _€_-;_-@_-</c:formatCode>
                <c:ptCount val="67"/>
                <c:pt idx="0">
                  <c:v>-342.69000000000005</c:v>
                </c:pt>
                <c:pt idx="1">
                  <c:v>-342.69000000000005</c:v>
                </c:pt>
                <c:pt idx="2">
                  <c:v>-342.69000000000005</c:v>
                </c:pt>
                <c:pt idx="3">
                  <c:v>-342.69000000000005</c:v>
                </c:pt>
                <c:pt idx="4">
                  <c:v>-342.69000000000005</c:v>
                </c:pt>
                <c:pt idx="5">
                  <c:v>-342.69000000000005</c:v>
                </c:pt>
                <c:pt idx="6">
                  <c:v>-342.69000000000005</c:v>
                </c:pt>
                <c:pt idx="7">
                  <c:v>-342.69000000000005</c:v>
                </c:pt>
                <c:pt idx="8">
                  <c:v>-342.69000000000005</c:v>
                </c:pt>
                <c:pt idx="9">
                  <c:v>-342.69000000000005</c:v>
                </c:pt>
                <c:pt idx="10">
                  <c:v>-342.69000000000005</c:v>
                </c:pt>
                <c:pt idx="11">
                  <c:v>-342.69000000000005</c:v>
                </c:pt>
                <c:pt idx="12">
                  <c:v>-342.69000000000005</c:v>
                </c:pt>
                <c:pt idx="13">
                  <c:v>-342.69000000000005</c:v>
                </c:pt>
                <c:pt idx="14">
                  <c:v>-342.69000000000005</c:v>
                </c:pt>
                <c:pt idx="15">
                  <c:v>-342.69000000000005</c:v>
                </c:pt>
                <c:pt idx="16">
                  <c:v>-342.69000000000005</c:v>
                </c:pt>
                <c:pt idx="17">
                  <c:v>-342.69000000000005</c:v>
                </c:pt>
                <c:pt idx="18">
                  <c:v>-342.69000000000005</c:v>
                </c:pt>
                <c:pt idx="19">
                  <c:v>-342.69000000000005</c:v>
                </c:pt>
                <c:pt idx="20">
                  <c:v>-342.69000000000005</c:v>
                </c:pt>
                <c:pt idx="21">
                  <c:v>-342.69000000000005</c:v>
                </c:pt>
                <c:pt idx="22">
                  <c:v>-342.69000000000005</c:v>
                </c:pt>
                <c:pt idx="23">
                  <c:v>-342.69000000000005</c:v>
                </c:pt>
                <c:pt idx="24">
                  <c:v>-342.69000000000005</c:v>
                </c:pt>
                <c:pt idx="25">
                  <c:v>-317.69000000000005</c:v>
                </c:pt>
                <c:pt idx="26">
                  <c:v>-292.69000000000005</c:v>
                </c:pt>
                <c:pt idx="27">
                  <c:v>-267.69000000000005</c:v>
                </c:pt>
                <c:pt idx="28">
                  <c:v>-242.69000000000005</c:v>
                </c:pt>
                <c:pt idx="29">
                  <c:v>-217.69000000000005</c:v>
                </c:pt>
                <c:pt idx="30">
                  <c:v>-192.69000000000005</c:v>
                </c:pt>
                <c:pt idx="31">
                  <c:v>-167.69000000000005</c:v>
                </c:pt>
                <c:pt idx="32">
                  <c:v>-142.69000000000005</c:v>
                </c:pt>
                <c:pt idx="33">
                  <c:v>-117.69000000000005</c:v>
                </c:pt>
                <c:pt idx="34">
                  <c:v>-92.690000000000055</c:v>
                </c:pt>
                <c:pt idx="35">
                  <c:v>-67.690000000000055</c:v>
                </c:pt>
                <c:pt idx="36">
                  <c:v>-42.690000000000055</c:v>
                </c:pt>
                <c:pt idx="37">
                  <c:v>-17.690000000000055</c:v>
                </c:pt>
                <c:pt idx="38">
                  <c:v>7.3099999999999454</c:v>
                </c:pt>
                <c:pt idx="39">
                  <c:v>32.309999999999945</c:v>
                </c:pt>
                <c:pt idx="40">
                  <c:v>57.309999999999945</c:v>
                </c:pt>
                <c:pt idx="41">
                  <c:v>82.309999999999945</c:v>
                </c:pt>
                <c:pt idx="42">
                  <c:v>107.30999999999995</c:v>
                </c:pt>
                <c:pt idx="43">
                  <c:v>132.30999999999995</c:v>
                </c:pt>
                <c:pt idx="44">
                  <c:v>157.30999999999995</c:v>
                </c:pt>
                <c:pt idx="45">
                  <c:v>182.30999999999995</c:v>
                </c:pt>
                <c:pt idx="46">
                  <c:v>207.30999999999995</c:v>
                </c:pt>
                <c:pt idx="47">
                  <c:v>232.30999999999995</c:v>
                </c:pt>
                <c:pt idx="48">
                  <c:v>257.30999999999995</c:v>
                </c:pt>
                <c:pt idx="49">
                  <c:v>282.30999999999995</c:v>
                </c:pt>
                <c:pt idx="50">
                  <c:v>307.30999999999995</c:v>
                </c:pt>
                <c:pt idx="51">
                  <c:v>332.30999999999995</c:v>
                </c:pt>
                <c:pt idx="52">
                  <c:v>357.30999999999995</c:v>
                </c:pt>
                <c:pt idx="53">
                  <c:v>382.30999999999995</c:v>
                </c:pt>
                <c:pt idx="54">
                  <c:v>407.30999999999995</c:v>
                </c:pt>
                <c:pt idx="55">
                  <c:v>432.30999999999995</c:v>
                </c:pt>
                <c:pt idx="56">
                  <c:v>457.30999999999995</c:v>
                </c:pt>
                <c:pt idx="57">
                  <c:v>482.30999999999995</c:v>
                </c:pt>
                <c:pt idx="58">
                  <c:v>507.30999999999995</c:v>
                </c:pt>
                <c:pt idx="59">
                  <c:v>532.30999999999995</c:v>
                </c:pt>
                <c:pt idx="60">
                  <c:v>557.30999999999995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BC-4C68-8FD6-B9D7226507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1909151"/>
        <c:axId val="461922591"/>
      </c:lineChart>
      <c:catAx>
        <c:axId val="46190915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Niveau</a:t>
                </a:r>
                <a:r>
                  <a:rPr lang="fr-FR" baseline="0"/>
                  <a:t> de l'indice à maturité</a:t>
                </a: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1922591"/>
        <c:crosses val="autoZero"/>
        <c:auto val="1"/>
        <c:lblAlgn val="ctr"/>
        <c:lblOffset val="100"/>
        <c:noMultiLvlLbl val="0"/>
      </c:catAx>
      <c:valAx>
        <c:axId val="461922591"/>
        <c:scaling>
          <c:orientation val="minMax"/>
          <c:max val="6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P&amp;L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1909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baseline="0"/>
              <a:t>Évolution du P&amp;L Cumulé comparé à l'Euro Stoxx 50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'Backtest Stratégie 1'!$B$5</c:f>
              <c:strCache>
                <c:ptCount val="1"/>
                <c:pt idx="0">
                  <c:v>Euro Stoxx 50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'Backtest Stratégie 1'!$A$6:$A$49</c:f>
              <c:numCache>
                <c:formatCode>m/d/yyyy</c:formatCode>
                <c:ptCount val="44"/>
                <c:pt idx="0">
                  <c:v>39994</c:v>
                </c:pt>
                <c:pt idx="1">
                  <c:v>39995</c:v>
                </c:pt>
                <c:pt idx="2">
                  <c:v>39996</c:v>
                </c:pt>
                <c:pt idx="3">
                  <c:v>39997</c:v>
                </c:pt>
                <c:pt idx="4">
                  <c:v>40000</c:v>
                </c:pt>
                <c:pt idx="5">
                  <c:v>40001</c:v>
                </c:pt>
                <c:pt idx="6">
                  <c:v>40002</c:v>
                </c:pt>
                <c:pt idx="7">
                  <c:v>40003</c:v>
                </c:pt>
                <c:pt idx="8">
                  <c:v>40004</c:v>
                </c:pt>
                <c:pt idx="9">
                  <c:v>40007</c:v>
                </c:pt>
                <c:pt idx="10">
                  <c:v>40008</c:v>
                </c:pt>
                <c:pt idx="11">
                  <c:v>40009</c:v>
                </c:pt>
                <c:pt idx="12">
                  <c:v>40010</c:v>
                </c:pt>
                <c:pt idx="13">
                  <c:v>40011</c:v>
                </c:pt>
                <c:pt idx="14">
                  <c:v>40014</c:v>
                </c:pt>
                <c:pt idx="15">
                  <c:v>40015</c:v>
                </c:pt>
                <c:pt idx="16">
                  <c:v>40016</c:v>
                </c:pt>
                <c:pt idx="17">
                  <c:v>40017</c:v>
                </c:pt>
                <c:pt idx="18">
                  <c:v>40018</c:v>
                </c:pt>
                <c:pt idx="19">
                  <c:v>40021</c:v>
                </c:pt>
                <c:pt idx="20">
                  <c:v>40022</c:v>
                </c:pt>
                <c:pt idx="21">
                  <c:v>40023</c:v>
                </c:pt>
                <c:pt idx="22">
                  <c:v>40024</c:v>
                </c:pt>
                <c:pt idx="23">
                  <c:v>40025</c:v>
                </c:pt>
                <c:pt idx="24">
                  <c:v>40028</c:v>
                </c:pt>
                <c:pt idx="25">
                  <c:v>40029</c:v>
                </c:pt>
                <c:pt idx="26">
                  <c:v>40030</c:v>
                </c:pt>
                <c:pt idx="27">
                  <c:v>40031</c:v>
                </c:pt>
                <c:pt idx="28">
                  <c:v>40032</c:v>
                </c:pt>
                <c:pt idx="29">
                  <c:v>40035</c:v>
                </c:pt>
                <c:pt idx="30">
                  <c:v>40036</c:v>
                </c:pt>
                <c:pt idx="31">
                  <c:v>40037</c:v>
                </c:pt>
                <c:pt idx="32">
                  <c:v>40038</c:v>
                </c:pt>
                <c:pt idx="33">
                  <c:v>40039</c:v>
                </c:pt>
                <c:pt idx="34">
                  <c:v>40042</c:v>
                </c:pt>
                <c:pt idx="35">
                  <c:v>40043</c:v>
                </c:pt>
                <c:pt idx="36">
                  <c:v>40044</c:v>
                </c:pt>
                <c:pt idx="37">
                  <c:v>40045</c:v>
                </c:pt>
                <c:pt idx="38">
                  <c:v>40046</c:v>
                </c:pt>
                <c:pt idx="39">
                  <c:v>40049</c:v>
                </c:pt>
                <c:pt idx="40">
                  <c:v>40050</c:v>
                </c:pt>
                <c:pt idx="41">
                  <c:v>40051</c:v>
                </c:pt>
                <c:pt idx="42">
                  <c:v>40052</c:v>
                </c:pt>
                <c:pt idx="43">
                  <c:v>40053</c:v>
                </c:pt>
              </c:numCache>
            </c:numRef>
          </c:cat>
          <c:val>
            <c:numRef>
              <c:f>'Backtest Stratégie 1'!$B$6:$B$49</c:f>
              <c:numCache>
                <c:formatCode>General</c:formatCode>
                <c:ptCount val="44"/>
                <c:pt idx="0">
                  <c:v>2401.69</c:v>
                </c:pt>
                <c:pt idx="1">
                  <c:v>2449.73</c:v>
                </c:pt>
                <c:pt idx="2">
                  <c:v>2369.65</c:v>
                </c:pt>
                <c:pt idx="3">
                  <c:v>2376.48</c:v>
                </c:pt>
                <c:pt idx="4">
                  <c:v>2343.88</c:v>
                </c:pt>
                <c:pt idx="5">
                  <c:v>2320.9</c:v>
                </c:pt>
                <c:pt idx="6">
                  <c:v>2291.33</c:v>
                </c:pt>
                <c:pt idx="7">
                  <c:v>2313.87</c:v>
                </c:pt>
                <c:pt idx="8">
                  <c:v>2281.4699999999998</c:v>
                </c:pt>
                <c:pt idx="9">
                  <c:v>2345.2199999999998</c:v>
                </c:pt>
                <c:pt idx="10">
                  <c:v>2370.71</c:v>
                </c:pt>
                <c:pt idx="11">
                  <c:v>2451.02</c:v>
                </c:pt>
                <c:pt idx="12">
                  <c:v>2458.9699999999998</c:v>
                </c:pt>
                <c:pt idx="13">
                  <c:v>2469.1999999999998</c:v>
                </c:pt>
                <c:pt idx="14">
                  <c:v>2500.69</c:v>
                </c:pt>
                <c:pt idx="15">
                  <c:v>2519.9899999999998</c:v>
                </c:pt>
                <c:pt idx="16">
                  <c:v>2528.85</c:v>
                </c:pt>
                <c:pt idx="17">
                  <c:v>2585.79</c:v>
                </c:pt>
                <c:pt idx="18">
                  <c:v>2582.7600000000002</c:v>
                </c:pt>
                <c:pt idx="19">
                  <c:v>2601.41</c:v>
                </c:pt>
                <c:pt idx="20">
                  <c:v>2573.08</c:v>
                </c:pt>
                <c:pt idx="21">
                  <c:v>2600.31</c:v>
                </c:pt>
                <c:pt idx="22">
                  <c:v>2654.74</c:v>
                </c:pt>
                <c:pt idx="23">
                  <c:v>2638.13</c:v>
                </c:pt>
                <c:pt idx="24">
                  <c:v>2674.07</c:v>
                </c:pt>
                <c:pt idx="25">
                  <c:v>2670.96</c:v>
                </c:pt>
                <c:pt idx="26">
                  <c:v>2643.13</c:v>
                </c:pt>
                <c:pt idx="27">
                  <c:v>2662.01</c:v>
                </c:pt>
                <c:pt idx="28">
                  <c:v>2706.22</c:v>
                </c:pt>
                <c:pt idx="29">
                  <c:v>2693.61</c:v>
                </c:pt>
                <c:pt idx="30">
                  <c:v>2650.94</c:v>
                </c:pt>
                <c:pt idx="31">
                  <c:v>2688.21</c:v>
                </c:pt>
                <c:pt idx="32">
                  <c:v>2705.74</c:v>
                </c:pt>
                <c:pt idx="33">
                  <c:v>2669.41</c:v>
                </c:pt>
                <c:pt idx="34">
                  <c:v>2603.79</c:v>
                </c:pt>
                <c:pt idx="35">
                  <c:v>2630.6</c:v>
                </c:pt>
                <c:pt idx="36">
                  <c:v>2622.88</c:v>
                </c:pt>
                <c:pt idx="37">
                  <c:v>2663.67</c:v>
                </c:pt>
                <c:pt idx="38">
                  <c:v>2745.62</c:v>
                </c:pt>
                <c:pt idx="39">
                  <c:v>2778.34</c:v>
                </c:pt>
                <c:pt idx="40">
                  <c:v>2801.14</c:v>
                </c:pt>
                <c:pt idx="41">
                  <c:v>2788.9</c:v>
                </c:pt>
                <c:pt idx="42">
                  <c:v>2777.62</c:v>
                </c:pt>
                <c:pt idx="43">
                  <c:v>2803.65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24-418B-8B2F-EBD513642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4872399"/>
        <c:axId val="1014897839"/>
      </c:lineChart>
      <c:lineChart>
        <c:grouping val="standard"/>
        <c:varyColors val="0"/>
        <c:ser>
          <c:idx val="1"/>
          <c:order val="1"/>
          <c:tx>
            <c:strRef>
              <c:f>'Backtest Stratégie 1'!$P$5</c:f>
              <c:strCache>
                <c:ptCount val="1"/>
                <c:pt idx="0">
                  <c:v>P&amp;L Cumulé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'Backtest Stratégie 1'!$A$6:$A$49</c:f>
              <c:numCache>
                <c:formatCode>m/d/yyyy</c:formatCode>
                <c:ptCount val="44"/>
                <c:pt idx="0">
                  <c:v>39994</c:v>
                </c:pt>
                <c:pt idx="1">
                  <c:v>39995</c:v>
                </c:pt>
                <c:pt idx="2">
                  <c:v>39996</c:v>
                </c:pt>
                <c:pt idx="3">
                  <c:v>39997</c:v>
                </c:pt>
                <c:pt idx="4">
                  <c:v>40000</c:v>
                </c:pt>
                <c:pt idx="5">
                  <c:v>40001</c:v>
                </c:pt>
                <c:pt idx="6">
                  <c:v>40002</c:v>
                </c:pt>
                <c:pt idx="7">
                  <c:v>40003</c:v>
                </c:pt>
                <c:pt idx="8">
                  <c:v>40004</c:v>
                </c:pt>
                <c:pt idx="9">
                  <c:v>40007</c:v>
                </c:pt>
                <c:pt idx="10">
                  <c:v>40008</c:v>
                </c:pt>
                <c:pt idx="11">
                  <c:v>40009</c:v>
                </c:pt>
                <c:pt idx="12">
                  <c:v>40010</c:v>
                </c:pt>
                <c:pt idx="13">
                  <c:v>40011</c:v>
                </c:pt>
                <c:pt idx="14">
                  <c:v>40014</c:v>
                </c:pt>
                <c:pt idx="15">
                  <c:v>40015</c:v>
                </c:pt>
                <c:pt idx="16">
                  <c:v>40016</c:v>
                </c:pt>
                <c:pt idx="17">
                  <c:v>40017</c:v>
                </c:pt>
                <c:pt idx="18">
                  <c:v>40018</c:v>
                </c:pt>
                <c:pt idx="19">
                  <c:v>40021</c:v>
                </c:pt>
                <c:pt idx="20">
                  <c:v>40022</c:v>
                </c:pt>
                <c:pt idx="21">
                  <c:v>40023</c:v>
                </c:pt>
                <c:pt idx="22">
                  <c:v>40024</c:v>
                </c:pt>
                <c:pt idx="23">
                  <c:v>40025</c:v>
                </c:pt>
                <c:pt idx="24">
                  <c:v>40028</c:v>
                </c:pt>
                <c:pt idx="25">
                  <c:v>40029</c:v>
                </c:pt>
                <c:pt idx="26">
                  <c:v>40030</c:v>
                </c:pt>
                <c:pt idx="27">
                  <c:v>40031</c:v>
                </c:pt>
                <c:pt idx="28">
                  <c:v>40032</c:v>
                </c:pt>
                <c:pt idx="29">
                  <c:v>40035</c:v>
                </c:pt>
                <c:pt idx="30">
                  <c:v>40036</c:v>
                </c:pt>
                <c:pt idx="31">
                  <c:v>40037</c:v>
                </c:pt>
                <c:pt idx="32">
                  <c:v>40038</c:v>
                </c:pt>
                <c:pt idx="33">
                  <c:v>40039</c:v>
                </c:pt>
                <c:pt idx="34">
                  <c:v>40042</c:v>
                </c:pt>
                <c:pt idx="35">
                  <c:v>40043</c:v>
                </c:pt>
                <c:pt idx="36">
                  <c:v>40044</c:v>
                </c:pt>
                <c:pt idx="37">
                  <c:v>40045</c:v>
                </c:pt>
                <c:pt idx="38">
                  <c:v>40046</c:v>
                </c:pt>
                <c:pt idx="39">
                  <c:v>40049</c:v>
                </c:pt>
                <c:pt idx="40">
                  <c:v>40050</c:v>
                </c:pt>
                <c:pt idx="41">
                  <c:v>40051</c:v>
                </c:pt>
                <c:pt idx="42">
                  <c:v>40052</c:v>
                </c:pt>
                <c:pt idx="43">
                  <c:v>40053</c:v>
                </c:pt>
              </c:numCache>
            </c:numRef>
          </c:cat>
          <c:val>
            <c:numRef>
              <c:f>'Backtest Stratégie 1'!$P$6:$P$49</c:f>
              <c:numCache>
                <c:formatCode>_-* #\ ##0.00\ _€_-;\-* #\ ##0.00\ _€_-;_-* "-"??\ _€_-;_-@_-</c:formatCode>
                <c:ptCount val="44"/>
                <c:pt idx="1">
                  <c:v>39.340000000000146</c:v>
                </c:pt>
                <c:pt idx="2">
                  <c:v>-26.039999999999964</c:v>
                </c:pt>
                <c:pt idx="3">
                  <c:v>-18.909999999999854</c:v>
                </c:pt>
                <c:pt idx="4">
                  <c:v>-46.309999999999945</c:v>
                </c:pt>
                <c:pt idx="5">
                  <c:v>-63.489999999999782</c:v>
                </c:pt>
                <c:pt idx="6">
                  <c:v>-85.460000000000036</c:v>
                </c:pt>
                <c:pt idx="7">
                  <c:v>-73.320000000000164</c:v>
                </c:pt>
                <c:pt idx="8">
                  <c:v>-100.12000000000035</c:v>
                </c:pt>
                <c:pt idx="9">
                  <c:v>-52.970000000000255</c:v>
                </c:pt>
                <c:pt idx="10">
                  <c:v>-34.880000000000109</c:v>
                </c:pt>
                <c:pt idx="11">
                  <c:v>32.029999999999745</c:v>
                </c:pt>
                <c:pt idx="12">
                  <c:v>38.479999999999563</c:v>
                </c:pt>
                <c:pt idx="13">
                  <c:v>46.009999999999764</c:v>
                </c:pt>
                <c:pt idx="14">
                  <c:v>74.5</c:v>
                </c:pt>
                <c:pt idx="15">
                  <c:v>91.899999999999636</c:v>
                </c:pt>
                <c:pt idx="16">
                  <c:v>100.15999999999985</c:v>
                </c:pt>
                <c:pt idx="17">
                  <c:v>152.40000000000009</c:v>
                </c:pt>
                <c:pt idx="18">
                  <c:v>149.97000000000025</c:v>
                </c:pt>
                <c:pt idx="19">
                  <c:v>167.7199999999998</c:v>
                </c:pt>
                <c:pt idx="20">
                  <c:v>140.38999999999987</c:v>
                </c:pt>
                <c:pt idx="21">
                  <c:v>166.2199999999998</c:v>
                </c:pt>
                <c:pt idx="22">
                  <c:v>218.34999999999991</c:v>
                </c:pt>
                <c:pt idx="23">
                  <c:v>202.84000000000015</c:v>
                </c:pt>
                <c:pt idx="24">
                  <c:v>237.48000000000002</c:v>
                </c:pt>
                <c:pt idx="25">
                  <c:v>233.9699999999998</c:v>
                </c:pt>
                <c:pt idx="26">
                  <c:v>205.94000000000005</c:v>
                </c:pt>
                <c:pt idx="27">
                  <c:v>223.72000000000025</c:v>
                </c:pt>
                <c:pt idx="28">
                  <c:v>266.92999999999984</c:v>
                </c:pt>
                <c:pt idx="29">
                  <c:v>254.32000000000016</c:v>
                </c:pt>
                <c:pt idx="30">
                  <c:v>212.75</c:v>
                </c:pt>
                <c:pt idx="31">
                  <c:v>249.11999999999989</c:v>
                </c:pt>
                <c:pt idx="32">
                  <c:v>266.04999999999973</c:v>
                </c:pt>
                <c:pt idx="33">
                  <c:v>230.51999999999998</c:v>
                </c:pt>
                <c:pt idx="34">
                  <c:v>167.90000000000009</c:v>
                </c:pt>
                <c:pt idx="35">
                  <c:v>192.90999999999985</c:v>
                </c:pt>
                <c:pt idx="36">
                  <c:v>185.69000000000005</c:v>
                </c:pt>
                <c:pt idx="37">
                  <c:v>224.38000000000011</c:v>
                </c:pt>
                <c:pt idx="38">
                  <c:v>304.82999999999993</c:v>
                </c:pt>
                <c:pt idx="39">
                  <c:v>337.45000000000027</c:v>
                </c:pt>
                <c:pt idx="40">
                  <c:v>360.04999999999973</c:v>
                </c:pt>
                <c:pt idx="41">
                  <c:v>347.80999999999995</c:v>
                </c:pt>
                <c:pt idx="42">
                  <c:v>336.32999999999993</c:v>
                </c:pt>
                <c:pt idx="43">
                  <c:v>361.96000000000004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24-418B-8B2F-EBD513642968}"/>
            </c:ext>
          </c:extLst>
        </c:ser>
        <c:ser>
          <c:idx val="2"/>
          <c:order val="2"/>
          <c:tx>
            <c:strRef>
              <c:f>'Backtest Stratégie 1'!$G$5</c:f>
              <c:strCache>
                <c:ptCount val="1"/>
                <c:pt idx="0">
                  <c:v>P&amp;L Long indice only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'Backtest Stratégie 1'!$A$6:$A$49</c:f>
              <c:numCache>
                <c:formatCode>m/d/yyyy</c:formatCode>
                <c:ptCount val="44"/>
                <c:pt idx="0">
                  <c:v>39994</c:v>
                </c:pt>
                <c:pt idx="1">
                  <c:v>39995</c:v>
                </c:pt>
                <c:pt idx="2">
                  <c:v>39996</c:v>
                </c:pt>
                <c:pt idx="3">
                  <c:v>39997</c:v>
                </c:pt>
                <c:pt idx="4">
                  <c:v>40000</c:v>
                </c:pt>
                <c:pt idx="5">
                  <c:v>40001</c:v>
                </c:pt>
                <c:pt idx="6">
                  <c:v>40002</c:v>
                </c:pt>
                <c:pt idx="7">
                  <c:v>40003</c:v>
                </c:pt>
                <c:pt idx="8">
                  <c:v>40004</c:v>
                </c:pt>
                <c:pt idx="9">
                  <c:v>40007</c:v>
                </c:pt>
                <c:pt idx="10">
                  <c:v>40008</c:v>
                </c:pt>
                <c:pt idx="11">
                  <c:v>40009</c:v>
                </c:pt>
                <c:pt idx="12">
                  <c:v>40010</c:v>
                </c:pt>
                <c:pt idx="13">
                  <c:v>40011</c:v>
                </c:pt>
                <c:pt idx="14">
                  <c:v>40014</c:v>
                </c:pt>
                <c:pt idx="15">
                  <c:v>40015</c:v>
                </c:pt>
                <c:pt idx="16">
                  <c:v>40016</c:v>
                </c:pt>
                <c:pt idx="17">
                  <c:v>40017</c:v>
                </c:pt>
                <c:pt idx="18">
                  <c:v>40018</c:v>
                </c:pt>
                <c:pt idx="19">
                  <c:v>40021</c:v>
                </c:pt>
                <c:pt idx="20">
                  <c:v>40022</c:v>
                </c:pt>
                <c:pt idx="21">
                  <c:v>40023</c:v>
                </c:pt>
                <c:pt idx="22">
                  <c:v>40024</c:v>
                </c:pt>
                <c:pt idx="23">
                  <c:v>40025</c:v>
                </c:pt>
                <c:pt idx="24">
                  <c:v>40028</c:v>
                </c:pt>
                <c:pt idx="25">
                  <c:v>40029</c:v>
                </c:pt>
                <c:pt idx="26">
                  <c:v>40030</c:v>
                </c:pt>
                <c:pt idx="27">
                  <c:v>40031</c:v>
                </c:pt>
                <c:pt idx="28">
                  <c:v>40032</c:v>
                </c:pt>
                <c:pt idx="29">
                  <c:v>40035</c:v>
                </c:pt>
                <c:pt idx="30">
                  <c:v>40036</c:v>
                </c:pt>
                <c:pt idx="31">
                  <c:v>40037</c:v>
                </c:pt>
                <c:pt idx="32">
                  <c:v>40038</c:v>
                </c:pt>
                <c:pt idx="33">
                  <c:v>40039</c:v>
                </c:pt>
                <c:pt idx="34">
                  <c:v>40042</c:v>
                </c:pt>
                <c:pt idx="35">
                  <c:v>40043</c:v>
                </c:pt>
                <c:pt idx="36">
                  <c:v>40044</c:v>
                </c:pt>
                <c:pt idx="37">
                  <c:v>40045</c:v>
                </c:pt>
                <c:pt idx="38">
                  <c:v>40046</c:v>
                </c:pt>
                <c:pt idx="39">
                  <c:v>40049</c:v>
                </c:pt>
                <c:pt idx="40">
                  <c:v>40050</c:v>
                </c:pt>
                <c:pt idx="41">
                  <c:v>40051</c:v>
                </c:pt>
                <c:pt idx="42">
                  <c:v>40052</c:v>
                </c:pt>
                <c:pt idx="43">
                  <c:v>40053</c:v>
                </c:pt>
              </c:numCache>
            </c:numRef>
          </c:cat>
          <c:val>
            <c:numRef>
              <c:f>'Backtest Stratégie 1'!$G$7:$G$49</c:f>
              <c:numCache>
                <c:formatCode>General</c:formatCode>
                <c:ptCount val="43"/>
                <c:pt idx="0">
                  <c:v>48.039999999999964</c:v>
                </c:pt>
                <c:pt idx="1">
                  <c:v>-32.039999999999964</c:v>
                </c:pt>
                <c:pt idx="2">
                  <c:v>-25.210000000000036</c:v>
                </c:pt>
                <c:pt idx="3">
                  <c:v>-57.809999999999945</c:v>
                </c:pt>
                <c:pt idx="4">
                  <c:v>-80.789999999999964</c:v>
                </c:pt>
                <c:pt idx="5">
                  <c:v>-110.36000000000013</c:v>
                </c:pt>
                <c:pt idx="6">
                  <c:v>-87.820000000000164</c:v>
                </c:pt>
                <c:pt idx="7">
                  <c:v>-120.22000000000025</c:v>
                </c:pt>
                <c:pt idx="8">
                  <c:v>-56.470000000000255</c:v>
                </c:pt>
                <c:pt idx="9">
                  <c:v>-30.980000000000018</c:v>
                </c:pt>
                <c:pt idx="10">
                  <c:v>49.329999999999927</c:v>
                </c:pt>
                <c:pt idx="11">
                  <c:v>57.279999999999745</c:v>
                </c:pt>
                <c:pt idx="12">
                  <c:v>67.509999999999764</c:v>
                </c:pt>
                <c:pt idx="13">
                  <c:v>99</c:v>
                </c:pt>
                <c:pt idx="14">
                  <c:v>118.29999999999973</c:v>
                </c:pt>
                <c:pt idx="15">
                  <c:v>127.15999999999985</c:v>
                </c:pt>
                <c:pt idx="16">
                  <c:v>184.09999999999991</c:v>
                </c:pt>
                <c:pt idx="17">
                  <c:v>181.07000000000016</c:v>
                </c:pt>
                <c:pt idx="18">
                  <c:v>199.7199999999998</c:v>
                </c:pt>
                <c:pt idx="19">
                  <c:v>171.38999999999987</c:v>
                </c:pt>
                <c:pt idx="20">
                  <c:v>198.61999999999989</c:v>
                </c:pt>
                <c:pt idx="21">
                  <c:v>253.04999999999973</c:v>
                </c:pt>
                <c:pt idx="22">
                  <c:v>236.44000000000005</c:v>
                </c:pt>
                <c:pt idx="23">
                  <c:v>272.38000000000011</c:v>
                </c:pt>
                <c:pt idx="24">
                  <c:v>269.27</c:v>
                </c:pt>
                <c:pt idx="25">
                  <c:v>241.44000000000005</c:v>
                </c:pt>
                <c:pt idx="26">
                  <c:v>260.32000000000016</c:v>
                </c:pt>
                <c:pt idx="27">
                  <c:v>304.52999999999975</c:v>
                </c:pt>
                <c:pt idx="28">
                  <c:v>291.92000000000007</c:v>
                </c:pt>
                <c:pt idx="29">
                  <c:v>249.25</c:v>
                </c:pt>
                <c:pt idx="30">
                  <c:v>286.52</c:v>
                </c:pt>
                <c:pt idx="31">
                  <c:v>304.04999999999973</c:v>
                </c:pt>
                <c:pt idx="32">
                  <c:v>267.7199999999998</c:v>
                </c:pt>
                <c:pt idx="33">
                  <c:v>202.09999999999991</c:v>
                </c:pt>
                <c:pt idx="34">
                  <c:v>228.90999999999985</c:v>
                </c:pt>
                <c:pt idx="35">
                  <c:v>221.19000000000005</c:v>
                </c:pt>
                <c:pt idx="36">
                  <c:v>261.98</c:v>
                </c:pt>
                <c:pt idx="37">
                  <c:v>343.92999999999984</c:v>
                </c:pt>
                <c:pt idx="38">
                  <c:v>376.65000000000009</c:v>
                </c:pt>
                <c:pt idx="39">
                  <c:v>399.44999999999982</c:v>
                </c:pt>
                <c:pt idx="40">
                  <c:v>387.21000000000004</c:v>
                </c:pt>
                <c:pt idx="41">
                  <c:v>375.92999999999984</c:v>
                </c:pt>
                <c:pt idx="42">
                  <c:v>401.96000000000004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8BB-4D0F-BDCD-D749B26FC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7148015"/>
        <c:axId val="1497141295"/>
      </c:lineChart>
      <c:dateAx>
        <c:axId val="10148723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4897839"/>
        <c:crosses val="autoZero"/>
        <c:auto val="1"/>
        <c:lblOffset val="100"/>
        <c:baseTimeUnit val="days"/>
      </c:dateAx>
      <c:valAx>
        <c:axId val="101489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Indice</a:t>
                </a:r>
                <a:r>
                  <a:rPr lang="fr-FR" baseline="0"/>
                  <a:t> (Points)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4872399"/>
        <c:crosses val="autoZero"/>
        <c:crossBetween val="between"/>
      </c:valAx>
      <c:valAx>
        <c:axId val="149714129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P&amp;L</a:t>
                </a:r>
                <a:r>
                  <a:rPr lang="fr-FR" baseline="0"/>
                  <a:t> en euros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97148015"/>
        <c:crosses val="max"/>
        <c:crossBetween val="between"/>
      </c:valAx>
      <c:dateAx>
        <c:axId val="149714801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497141295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baseline="0"/>
              <a:t>Attribution de Performance : Décomposition du P&amp;L par facteur de risque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'Backtest Stratégie 1'!$X$5</c:f>
              <c:strCache>
                <c:ptCount val="1"/>
                <c:pt idx="0">
                  <c:v>Cumul Delta P&amp;L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'Backtest Stratégie 1'!$A$6:$A$49</c:f>
              <c:numCache>
                <c:formatCode>m/d/yyyy</c:formatCode>
                <c:ptCount val="44"/>
                <c:pt idx="0">
                  <c:v>39994</c:v>
                </c:pt>
                <c:pt idx="1">
                  <c:v>39995</c:v>
                </c:pt>
                <c:pt idx="2">
                  <c:v>39996</c:v>
                </c:pt>
                <c:pt idx="3">
                  <c:v>39997</c:v>
                </c:pt>
                <c:pt idx="4">
                  <c:v>40000</c:v>
                </c:pt>
                <c:pt idx="5">
                  <c:v>40001</c:v>
                </c:pt>
                <c:pt idx="6">
                  <c:v>40002</c:v>
                </c:pt>
                <c:pt idx="7">
                  <c:v>40003</c:v>
                </c:pt>
                <c:pt idx="8">
                  <c:v>40004</c:v>
                </c:pt>
                <c:pt idx="9">
                  <c:v>40007</c:v>
                </c:pt>
                <c:pt idx="10">
                  <c:v>40008</c:v>
                </c:pt>
                <c:pt idx="11">
                  <c:v>40009</c:v>
                </c:pt>
                <c:pt idx="12">
                  <c:v>40010</c:v>
                </c:pt>
                <c:pt idx="13">
                  <c:v>40011</c:v>
                </c:pt>
                <c:pt idx="14">
                  <c:v>40014</c:v>
                </c:pt>
                <c:pt idx="15">
                  <c:v>40015</c:v>
                </c:pt>
                <c:pt idx="16">
                  <c:v>40016</c:v>
                </c:pt>
                <c:pt idx="17">
                  <c:v>40017</c:v>
                </c:pt>
                <c:pt idx="18">
                  <c:v>40018</c:v>
                </c:pt>
                <c:pt idx="19">
                  <c:v>40021</c:v>
                </c:pt>
                <c:pt idx="20">
                  <c:v>40022</c:v>
                </c:pt>
                <c:pt idx="21">
                  <c:v>40023</c:v>
                </c:pt>
                <c:pt idx="22">
                  <c:v>40024</c:v>
                </c:pt>
                <c:pt idx="23">
                  <c:v>40025</c:v>
                </c:pt>
                <c:pt idx="24">
                  <c:v>40028</c:v>
                </c:pt>
                <c:pt idx="25">
                  <c:v>40029</c:v>
                </c:pt>
                <c:pt idx="26">
                  <c:v>40030</c:v>
                </c:pt>
                <c:pt idx="27">
                  <c:v>40031</c:v>
                </c:pt>
                <c:pt idx="28">
                  <c:v>40032</c:v>
                </c:pt>
                <c:pt idx="29">
                  <c:v>40035</c:v>
                </c:pt>
                <c:pt idx="30">
                  <c:v>40036</c:v>
                </c:pt>
                <c:pt idx="31">
                  <c:v>40037</c:v>
                </c:pt>
                <c:pt idx="32">
                  <c:v>40038</c:v>
                </c:pt>
                <c:pt idx="33">
                  <c:v>40039</c:v>
                </c:pt>
                <c:pt idx="34">
                  <c:v>40042</c:v>
                </c:pt>
                <c:pt idx="35">
                  <c:v>40043</c:v>
                </c:pt>
                <c:pt idx="36">
                  <c:v>40044</c:v>
                </c:pt>
                <c:pt idx="37">
                  <c:v>40045</c:v>
                </c:pt>
                <c:pt idx="38">
                  <c:v>40046</c:v>
                </c:pt>
                <c:pt idx="39">
                  <c:v>40049</c:v>
                </c:pt>
                <c:pt idx="40">
                  <c:v>40050</c:v>
                </c:pt>
                <c:pt idx="41">
                  <c:v>40051</c:v>
                </c:pt>
                <c:pt idx="42">
                  <c:v>40052</c:v>
                </c:pt>
                <c:pt idx="43">
                  <c:v>40053</c:v>
                </c:pt>
              </c:numCache>
            </c:numRef>
          </c:cat>
          <c:val>
            <c:numRef>
              <c:f>'Backtest Stratégie 1'!$X$6:$X$49</c:f>
              <c:numCache>
                <c:formatCode>General</c:formatCode>
                <c:ptCount val="44"/>
                <c:pt idx="1">
                  <c:v>39.446688456922367</c:v>
                </c:pt>
                <c:pt idx="2">
                  <c:v>-28.856056378344313</c:v>
                </c:pt>
                <c:pt idx="3">
                  <c:v>-23.400039455618998</c:v>
                </c:pt>
                <c:pt idx="4">
                  <c:v>-49.506158341383696</c:v>
                </c:pt>
                <c:pt idx="5">
                  <c:v>-67.411619529820072</c:v>
                </c:pt>
                <c:pt idx="6">
                  <c:v>-89.885469561776915</c:v>
                </c:pt>
                <c:pt idx="7">
                  <c:v>-73.324506819656676</c:v>
                </c:pt>
                <c:pt idx="8">
                  <c:v>-97.969122016173827</c:v>
                </c:pt>
                <c:pt idx="9">
                  <c:v>-51.093142073991892</c:v>
                </c:pt>
                <c:pt idx="10">
                  <c:v>-30.871901944804016</c:v>
                </c:pt>
                <c:pt idx="11">
                  <c:v>34.831498175695309</c:v>
                </c:pt>
                <c:pt idx="12">
                  <c:v>41.783780218793304</c:v>
                </c:pt>
                <c:pt idx="13">
                  <c:v>50.791538329134298</c:v>
                </c:pt>
                <c:pt idx="14">
                  <c:v>78.841053438892388</c:v>
                </c:pt>
                <c:pt idx="15">
                  <c:v>96.326663967490617</c:v>
                </c:pt>
                <c:pt idx="16">
                  <c:v>104.43681838258905</c:v>
                </c:pt>
                <c:pt idx="17">
                  <c:v>156.74679204992765</c:v>
                </c:pt>
                <c:pt idx="18">
                  <c:v>153.89060463814758</c:v>
                </c:pt>
                <c:pt idx="19">
                  <c:v>171.42119583834781</c:v>
                </c:pt>
                <c:pt idx="20">
                  <c:v>144.64434998729237</c:v>
                </c:pt>
                <c:pt idx="21">
                  <c:v>170.2032060116527</c:v>
                </c:pt>
                <c:pt idx="22">
                  <c:v>221.73115734035272</c:v>
                </c:pt>
                <c:pt idx="23">
                  <c:v>205.78330224727864</c:v>
                </c:pt>
                <c:pt idx="24">
                  <c:v>240.08549108032813</c:v>
                </c:pt>
                <c:pt idx="25">
                  <c:v>237.09345746512261</c:v>
                </c:pt>
                <c:pt idx="26">
                  <c:v>210.27532092887077</c:v>
                </c:pt>
                <c:pt idx="27">
                  <c:v>228.45764319611914</c:v>
                </c:pt>
                <c:pt idx="28">
                  <c:v>271.30905331138774</c:v>
                </c:pt>
                <c:pt idx="29">
                  <c:v>259.00121300139142</c:v>
                </c:pt>
                <c:pt idx="30">
                  <c:v>217.3724223867921</c:v>
                </c:pt>
                <c:pt idx="31">
                  <c:v>253.45890430283592</c:v>
                </c:pt>
                <c:pt idx="32">
                  <c:v>270.5395325516331</c:v>
                </c:pt>
                <c:pt idx="33">
                  <c:v>235.00503804377442</c:v>
                </c:pt>
                <c:pt idx="34">
                  <c:v>171.1829260832923</c:v>
                </c:pt>
                <c:pt idx="35">
                  <c:v>196.77488476150592</c:v>
                </c:pt>
                <c:pt idx="36">
                  <c:v>189.3273209942449</c:v>
                </c:pt>
                <c:pt idx="37">
                  <c:v>228.56080711516864</c:v>
                </c:pt>
                <c:pt idx="38">
                  <c:v>308.41940623098219</c:v>
                </c:pt>
                <c:pt idx="39">
                  <c:v>340.65694000293178</c:v>
                </c:pt>
                <c:pt idx="40">
                  <c:v>363.14814026969833</c:v>
                </c:pt>
                <c:pt idx="41">
                  <c:v>351.05521268679428</c:v>
                </c:pt>
                <c:pt idx="42">
                  <c:v>339.91294004124137</c:v>
                </c:pt>
                <c:pt idx="43">
                  <c:v>365.6517662039106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7D-4B53-B99B-E391F79CE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7130255"/>
        <c:axId val="1497130735"/>
      </c:lineChart>
      <c:lineChart>
        <c:grouping val="standard"/>
        <c:varyColors val="0"/>
        <c:ser>
          <c:idx val="1"/>
          <c:order val="1"/>
          <c:tx>
            <c:strRef>
              <c:f>'Backtest Stratégie 1'!$Y$5</c:f>
              <c:strCache>
                <c:ptCount val="1"/>
                <c:pt idx="0">
                  <c:v>Cumul Gamma + Thêta P&amp;L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'Backtest Stratégie 1'!$A$6:$A$49</c:f>
              <c:numCache>
                <c:formatCode>m/d/yyyy</c:formatCode>
                <c:ptCount val="44"/>
                <c:pt idx="0">
                  <c:v>39994</c:v>
                </c:pt>
                <c:pt idx="1">
                  <c:v>39995</c:v>
                </c:pt>
                <c:pt idx="2">
                  <c:v>39996</c:v>
                </c:pt>
                <c:pt idx="3">
                  <c:v>39997</c:v>
                </c:pt>
                <c:pt idx="4">
                  <c:v>40000</c:v>
                </c:pt>
                <c:pt idx="5">
                  <c:v>40001</c:v>
                </c:pt>
                <c:pt idx="6">
                  <c:v>40002</c:v>
                </c:pt>
                <c:pt idx="7">
                  <c:v>40003</c:v>
                </c:pt>
                <c:pt idx="8">
                  <c:v>40004</c:v>
                </c:pt>
                <c:pt idx="9">
                  <c:v>40007</c:v>
                </c:pt>
                <c:pt idx="10">
                  <c:v>40008</c:v>
                </c:pt>
                <c:pt idx="11">
                  <c:v>40009</c:v>
                </c:pt>
                <c:pt idx="12">
                  <c:v>40010</c:v>
                </c:pt>
                <c:pt idx="13">
                  <c:v>40011</c:v>
                </c:pt>
                <c:pt idx="14">
                  <c:v>40014</c:v>
                </c:pt>
                <c:pt idx="15">
                  <c:v>40015</c:v>
                </c:pt>
                <c:pt idx="16">
                  <c:v>40016</c:v>
                </c:pt>
                <c:pt idx="17">
                  <c:v>40017</c:v>
                </c:pt>
                <c:pt idx="18">
                  <c:v>40018</c:v>
                </c:pt>
                <c:pt idx="19">
                  <c:v>40021</c:v>
                </c:pt>
                <c:pt idx="20">
                  <c:v>40022</c:v>
                </c:pt>
                <c:pt idx="21">
                  <c:v>40023</c:v>
                </c:pt>
                <c:pt idx="22">
                  <c:v>40024</c:v>
                </c:pt>
                <c:pt idx="23">
                  <c:v>40025</c:v>
                </c:pt>
                <c:pt idx="24">
                  <c:v>40028</c:v>
                </c:pt>
                <c:pt idx="25">
                  <c:v>40029</c:v>
                </c:pt>
                <c:pt idx="26">
                  <c:v>40030</c:v>
                </c:pt>
                <c:pt idx="27">
                  <c:v>40031</c:v>
                </c:pt>
                <c:pt idx="28">
                  <c:v>40032</c:v>
                </c:pt>
                <c:pt idx="29">
                  <c:v>40035</c:v>
                </c:pt>
                <c:pt idx="30">
                  <c:v>40036</c:v>
                </c:pt>
                <c:pt idx="31">
                  <c:v>40037</c:v>
                </c:pt>
                <c:pt idx="32">
                  <c:v>40038</c:v>
                </c:pt>
                <c:pt idx="33">
                  <c:v>40039</c:v>
                </c:pt>
                <c:pt idx="34">
                  <c:v>40042</c:v>
                </c:pt>
                <c:pt idx="35">
                  <c:v>40043</c:v>
                </c:pt>
                <c:pt idx="36">
                  <c:v>40044</c:v>
                </c:pt>
                <c:pt idx="37">
                  <c:v>40045</c:v>
                </c:pt>
                <c:pt idx="38">
                  <c:v>40046</c:v>
                </c:pt>
                <c:pt idx="39">
                  <c:v>40049</c:v>
                </c:pt>
                <c:pt idx="40">
                  <c:v>40050</c:v>
                </c:pt>
                <c:pt idx="41">
                  <c:v>40051</c:v>
                </c:pt>
                <c:pt idx="42">
                  <c:v>40052</c:v>
                </c:pt>
                <c:pt idx="43">
                  <c:v>40053</c:v>
                </c:pt>
              </c:numCache>
            </c:numRef>
          </c:cat>
          <c:val>
            <c:numRef>
              <c:f>'Backtest Stratégie 1'!$Y$6:$Y$49</c:f>
              <c:numCache>
                <c:formatCode>General</c:formatCode>
                <c:ptCount val="44"/>
                <c:pt idx="1">
                  <c:v>0.14479408843525021</c:v>
                </c:pt>
                <c:pt idx="2">
                  <c:v>1.4451206140628288</c:v>
                </c:pt>
                <c:pt idx="3">
                  <c:v>0.78266488475618989</c:v>
                </c:pt>
                <c:pt idx="4">
                  <c:v>-0.93116212689460776</c:v>
                </c:pt>
                <c:pt idx="5">
                  <c:v>-1.4743838820453721</c:v>
                </c:pt>
                <c:pt idx="6">
                  <c:v>-1.906321226244734</c:v>
                </c:pt>
                <c:pt idx="7">
                  <c:v>-2.5183083721088204</c:v>
                </c:pt>
                <c:pt idx="8">
                  <c:v>-2.848068956823079</c:v>
                </c:pt>
                <c:pt idx="9">
                  <c:v>-3.3532244561769882</c:v>
                </c:pt>
                <c:pt idx="10">
                  <c:v>-3.8330599002560848</c:v>
                </c:pt>
                <c:pt idx="11">
                  <c:v>-2.0828814667711097</c:v>
                </c:pt>
                <c:pt idx="12">
                  <c:v>-2.6214725787687301</c:v>
                </c:pt>
                <c:pt idx="13">
                  <c:v>-3.1364473934191777</c:v>
                </c:pt>
                <c:pt idx="14">
                  <c:v>-4.3989529324863241</c:v>
                </c:pt>
                <c:pt idx="15">
                  <c:v>-4.798419226881264</c:v>
                </c:pt>
                <c:pt idx="16">
                  <c:v>-5.2423669276114202</c:v>
                </c:pt>
                <c:pt idx="17">
                  <c:v>-5.0175538651593987</c:v>
                </c:pt>
                <c:pt idx="18">
                  <c:v>-5.3745667914261039</c:v>
                </c:pt>
                <c:pt idx="19">
                  <c:v>-6.4618573549033815</c:v>
                </c:pt>
                <c:pt idx="20">
                  <c:v>-6.7201723484293883</c:v>
                </c:pt>
                <c:pt idx="21">
                  <c:v>-7.0061545484419456</c:v>
                </c:pt>
                <c:pt idx="22">
                  <c:v>-6.9436640819315105</c:v>
                </c:pt>
                <c:pt idx="23">
                  <c:v>-7.228592143185387</c:v>
                </c:pt>
                <c:pt idx="24">
                  <c:v>-8.1494456454939836</c:v>
                </c:pt>
                <c:pt idx="25">
                  <c:v>-8.4875567197058857</c:v>
                </c:pt>
                <c:pt idx="26">
                  <c:v>-8.733991799133257</c:v>
                </c:pt>
                <c:pt idx="27">
                  <c:v>-9.0169496478072695</c:v>
                </c:pt>
                <c:pt idx="28">
                  <c:v>-9.1054977224144853</c:v>
                </c:pt>
                <c:pt idx="29">
                  <c:v>-9.8142920586909224</c:v>
                </c:pt>
                <c:pt idx="30">
                  <c:v>-9.9245518707027198</c:v>
                </c:pt>
                <c:pt idx="31">
                  <c:v>-10.104401757535429</c:v>
                </c:pt>
                <c:pt idx="32">
                  <c:v>-10.362028884439317</c:v>
                </c:pt>
                <c:pt idx="33">
                  <c:v>-10.518804569120878</c:v>
                </c:pt>
                <c:pt idx="34">
                  <c:v>-11.057633518467524</c:v>
                </c:pt>
                <c:pt idx="35">
                  <c:v>-11.471653597090761</c:v>
                </c:pt>
                <c:pt idx="36">
                  <c:v>-11.890452833203762</c:v>
                </c:pt>
                <c:pt idx="37">
                  <c:v>-12.160301061636909</c:v>
                </c:pt>
                <c:pt idx="38">
                  <c:v>-11.909994671158438</c:v>
                </c:pt>
                <c:pt idx="39">
                  <c:v>-12.547766549789783</c:v>
                </c:pt>
                <c:pt idx="40">
                  <c:v>-12.774067525614894</c:v>
                </c:pt>
                <c:pt idx="41">
                  <c:v>-13.007333947806519</c:v>
                </c:pt>
                <c:pt idx="42">
                  <c:v>-13.250974654296424</c:v>
                </c:pt>
                <c:pt idx="43">
                  <c:v>-13.455830546884647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7D-4B53-B99B-E391F79CE34B}"/>
            </c:ext>
          </c:extLst>
        </c:ser>
        <c:ser>
          <c:idx val="2"/>
          <c:order val="2"/>
          <c:tx>
            <c:strRef>
              <c:f>'Backtest Stratégie 1'!$Z$5</c:f>
              <c:strCache>
                <c:ptCount val="1"/>
                <c:pt idx="0">
                  <c:v>Cumul Véga P&amp;L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'Backtest Stratégie 1'!$A$6:$A$49</c:f>
              <c:numCache>
                <c:formatCode>m/d/yyyy</c:formatCode>
                <c:ptCount val="44"/>
                <c:pt idx="0">
                  <c:v>39994</c:v>
                </c:pt>
                <c:pt idx="1">
                  <c:v>39995</c:v>
                </c:pt>
                <c:pt idx="2">
                  <c:v>39996</c:v>
                </c:pt>
                <c:pt idx="3">
                  <c:v>39997</c:v>
                </c:pt>
                <c:pt idx="4">
                  <c:v>40000</c:v>
                </c:pt>
                <c:pt idx="5">
                  <c:v>40001</c:v>
                </c:pt>
                <c:pt idx="6">
                  <c:v>40002</c:v>
                </c:pt>
                <c:pt idx="7">
                  <c:v>40003</c:v>
                </c:pt>
                <c:pt idx="8">
                  <c:v>40004</c:v>
                </c:pt>
                <c:pt idx="9">
                  <c:v>40007</c:v>
                </c:pt>
                <c:pt idx="10">
                  <c:v>40008</c:v>
                </c:pt>
                <c:pt idx="11">
                  <c:v>40009</c:v>
                </c:pt>
                <c:pt idx="12">
                  <c:v>40010</c:v>
                </c:pt>
                <c:pt idx="13">
                  <c:v>40011</c:v>
                </c:pt>
                <c:pt idx="14">
                  <c:v>40014</c:v>
                </c:pt>
                <c:pt idx="15">
                  <c:v>40015</c:v>
                </c:pt>
                <c:pt idx="16">
                  <c:v>40016</c:v>
                </c:pt>
                <c:pt idx="17">
                  <c:v>40017</c:v>
                </c:pt>
                <c:pt idx="18">
                  <c:v>40018</c:v>
                </c:pt>
                <c:pt idx="19">
                  <c:v>40021</c:v>
                </c:pt>
                <c:pt idx="20">
                  <c:v>40022</c:v>
                </c:pt>
                <c:pt idx="21">
                  <c:v>40023</c:v>
                </c:pt>
                <c:pt idx="22">
                  <c:v>40024</c:v>
                </c:pt>
                <c:pt idx="23">
                  <c:v>40025</c:v>
                </c:pt>
                <c:pt idx="24">
                  <c:v>40028</c:v>
                </c:pt>
                <c:pt idx="25">
                  <c:v>40029</c:v>
                </c:pt>
                <c:pt idx="26">
                  <c:v>40030</c:v>
                </c:pt>
                <c:pt idx="27">
                  <c:v>40031</c:v>
                </c:pt>
                <c:pt idx="28">
                  <c:v>40032</c:v>
                </c:pt>
                <c:pt idx="29">
                  <c:v>40035</c:v>
                </c:pt>
                <c:pt idx="30">
                  <c:v>40036</c:v>
                </c:pt>
                <c:pt idx="31">
                  <c:v>40037</c:v>
                </c:pt>
                <c:pt idx="32">
                  <c:v>40038</c:v>
                </c:pt>
                <c:pt idx="33">
                  <c:v>40039</c:v>
                </c:pt>
                <c:pt idx="34">
                  <c:v>40042</c:v>
                </c:pt>
                <c:pt idx="35">
                  <c:v>40043</c:v>
                </c:pt>
                <c:pt idx="36">
                  <c:v>40044</c:v>
                </c:pt>
                <c:pt idx="37">
                  <c:v>40045</c:v>
                </c:pt>
                <c:pt idx="38">
                  <c:v>40046</c:v>
                </c:pt>
                <c:pt idx="39">
                  <c:v>40049</c:v>
                </c:pt>
                <c:pt idx="40">
                  <c:v>40050</c:v>
                </c:pt>
                <c:pt idx="41">
                  <c:v>40051</c:v>
                </c:pt>
                <c:pt idx="42">
                  <c:v>40052</c:v>
                </c:pt>
                <c:pt idx="43">
                  <c:v>40053</c:v>
                </c:pt>
              </c:numCache>
            </c:numRef>
          </c:cat>
          <c:val>
            <c:numRef>
              <c:f>'Backtest Stratégie 1'!$Z$6:$Z$49</c:f>
              <c:numCache>
                <c:formatCode>General</c:formatCode>
                <c:ptCount val="44"/>
                <c:pt idx="1">
                  <c:v>-0.32195558632343979</c:v>
                </c:pt>
                <c:pt idx="2">
                  <c:v>1.0045005210375424</c:v>
                </c:pt>
                <c:pt idx="3">
                  <c:v>3.3567513678801761</c:v>
                </c:pt>
                <c:pt idx="4">
                  <c:v>3.86509377170945</c:v>
                </c:pt>
                <c:pt idx="5">
                  <c:v>5.1174981083131739</c:v>
                </c:pt>
                <c:pt idx="6">
                  <c:v>6.0288446766239217</c:v>
                </c:pt>
                <c:pt idx="7">
                  <c:v>2.0115802536494662</c:v>
                </c:pt>
                <c:pt idx="8">
                  <c:v>0.25862264840133986</c:v>
                </c:pt>
                <c:pt idx="9">
                  <c:v>0.99571148482352489</c:v>
                </c:pt>
                <c:pt idx="10">
                  <c:v>-0.81359217873602763</c:v>
                </c:pt>
                <c:pt idx="11">
                  <c:v>-1.4048007483112381</c:v>
                </c:pt>
                <c:pt idx="12">
                  <c:v>-1.3857769711790304</c:v>
                </c:pt>
                <c:pt idx="13">
                  <c:v>-2.4308065177726612</c:v>
                </c:pt>
                <c:pt idx="14">
                  <c:v>-0.63916243062325395</c:v>
                </c:pt>
                <c:pt idx="15">
                  <c:v>-0.33300945869829818</c:v>
                </c:pt>
                <c:pt idx="16">
                  <c:v>0.27064720669917147</c:v>
                </c:pt>
                <c:pt idx="17">
                  <c:v>-0.15315176346754061</c:v>
                </c:pt>
                <c:pt idx="18">
                  <c:v>0.62724173396084049</c:v>
                </c:pt>
                <c:pt idx="19">
                  <c:v>1.9990716484697866</c:v>
                </c:pt>
                <c:pt idx="20">
                  <c:v>1.7578995906109218</c:v>
                </c:pt>
                <c:pt idx="21">
                  <c:v>2.3435937306922088</c:v>
                </c:pt>
                <c:pt idx="22">
                  <c:v>2.976233148922006</c:v>
                </c:pt>
                <c:pt idx="23">
                  <c:v>3.6720855568843898</c:v>
                </c:pt>
                <c:pt idx="24">
                  <c:v>5.0269215745375764</c:v>
                </c:pt>
                <c:pt idx="25">
                  <c:v>4.8409478749137307</c:v>
                </c:pt>
                <c:pt idx="26">
                  <c:v>3.9433290851970124</c:v>
                </c:pt>
                <c:pt idx="27">
                  <c:v>3.7706578575742302</c:v>
                </c:pt>
                <c:pt idx="28">
                  <c:v>4.2825341795085885</c:v>
                </c:pt>
                <c:pt idx="29">
                  <c:v>4.7304197847580012</c:v>
                </c:pt>
                <c:pt idx="30">
                  <c:v>4.9094486272748545</c:v>
                </c:pt>
                <c:pt idx="31">
                  <c:v>5.4203431037237761</c:v>
                </c:pt>
                <c:pt idx="32">
                  <c:v>5.510910200610935</c:v>
                </c:pt>
                <c:pt idx="33">
                  <c:v>5.6853841057101304</c:v>
                </c:pt>
                <c:pt idx="34">
                  <c:v>7.231796377812568</c:v>
                </c:pt>
                <c:pt idx="35">
                  <c:v>6.9518654681985579</c:v>
                </c:pt>
                <c:pt idx="36">
                  <c:v>7.60110730035702</c:v>
                </c:pt>
                <c:pt idx="37">
                  <c:v>7.1234062369619728</c:v>
                </c:pt>
                <c:pt idx="38">
                  <c:v>7.6165421031850808</c:v>
                </c:pt>
                <c:pt idx="39">
                  <c:v>8.7682694944659794</c:v>
                </c:pt>
                <c:pt idx="40">
                  <c:v>9.1244448510855385</c:v>
                </c:pt>
                <c:pt idx="41">
                  <c:v>9.2210078888636868</c:v>
                </c:pt>
                <c:pt idx="42">
                  <c:v>9.1255491799622366</c:v>
                </c:pt>
                <c:pt idx="43">
                  <c:v>9.1966297794989718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7D-4B53-B99B-E391F79CE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2926127"/>
        <c:axId val="1672920847"/>
      </c:lineChart>
      <c:dateAx>
        <c:axId val="149713025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97130735"/>
        <c:crosses val="autoZero"/>
        <c:auto val="1"/>
        <c:lblOffset val="100"/>
        <c:baseTimeUnit val="days"/>
      </c:dateAx>
      <c:valAx>
        <c:axId val="149713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Delta</a:t>
                </a:r>
                <a:r>
                  <a:rPr lang="fr-FR" baseline="0"/>
                  <a:t> P&amp;L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97130255"/>
        <c:crosses val="autoZero"/>
        <c:crossBetween val="between"/>
      </c:valAx>
      <c:valAx>
        <c:axId val="167292084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Gamma</a:t>
                </a:r>
                <a:r>
                  <a:rPr lang="fr-FR" baseline="0"/>
                  <a:t> + Theta and Vega P&amp;L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72926127"/>
        <c:crosses val="max"/>
        <c:crossBetween val="between"/>
      </c:valAx>
      <c:dateAx>
        <c:axId val="167292612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672920847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1" i="0" u="none" strike="noStrike" baseline="0"/>
              <a:t>Profil de P&amp;L à maturité – Indice vs Stratégie Actions + Put Spread (K = 90 % / 80 %)</a:t>
            </a:r>
            <a:endParaRPr lang="fr-F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'Stress Test de la stratégie 2'!$AJ$5</c:f>
              <c:strCache>
                <c:ptCount val="1"/>
                <c:pt idx="0">
                  <c:v>Indice seul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'Stress Test de la stratégie 2'!$AI$6:$AI$72</c:f>
              <c:numCache>
                <c:formatCode>General</c:formatCode>
                <c:ptCount val="67"/>
                <c:pt idx="0">
                  <c:v>1500</c:v>
                </c:pt>
                <c:pt idx="1">
                  <c:v>1525</c:v>
                </c:pt>
                <c:pt idx="2">
                  <c:v>1550</c:v>
                </c:pt>
                <c:pt idx="3">
                  <c:v>1575</c:v>
                </c:pt>
                <c:pt idx="4">
                  <c:v>1600</c:v>
                </c:pt>
                <c:pt idx="5">
                  <c:v>1625</c:v>
                </c:pt>
                <c:pt idx="6">
                  <c:v>1650</c:v>
                </c:pt>
                <c:pt idx="7">
                  <c:v>1675</c:v>
                </c:pt>
                <c:pt idx="8">
                  <c:v>1700</c:v>
                </c:pt>
                <c:pt idx="9">
                  <c:v>1725</c:v>
                </c:pt>
                <c:pt idx="10">
                  <c:v>1750</c:v>
                </c:pt>
                <c:pt idx="11">
                  <c:v>1775</c:v>
                </c:pt>
                <c:pt idx="12">
                  <c:v>1800</c:v>
                </c:pt>
                <c:pt idx="13">
                  <c:v>1825</c:v>
                </c:pt>
                <c:pt idx="14">
                  <c:v>1850</c:v>
                </c:pt>
                <c:pt idx="15">
                  <c:v>1875</c:v>
                </c:pt>
                <c:pt idx="16">
                  <c:v>1900</c:v>
                </c:pt>
                <c:pt idx="17">
                  <c:v>1925</c:v>
                </c:pt>
                <c:pt idx="18">
                  <c:v>1950</c:v>
                </c:pt>
                <c:pt idx="19">
                  <c:v>1975</c:v>
                </c:pt>
                <c:pt idx="20">
                  <c:v>2000</c:v>
                </c:pt>
                <c:pt idx="21">
                  <c:v>2025</c:v>
                </c:pt>
                <c:pt idx="22">
                  <c:v>2050</c:v>
                </c:pt>
                <c:pt idx="23">
                  <c:v>2075</c:v>
                </c:pt>
                <c:pt idx="24">
                  <c:v>2100</c:v>
                </c:pt>
                <c:pt idx="25">
                  <c:v>2125</c:v>
                </c:pt>
                <c:pt idx="26">
                  <c:v>2150</c:v>
                </c:pt>
                <c:pt idx="27">
                  <c:v>2175</c:v>
                </c:pt>
                <c:pt idx="28">
                  <c:v>2200</c:v>
                </c:pt>
                <c:pt idx="29">
                  <c:v>2225</c:v>
                </c:pt>
                <c:pt idx="30">
                  <c:v>2250</c:v>
                </c:pt>
                <c:pt idx="31">
                  <c:v>2275</c:v>
                </c:pt>
                <c:pt idx="32">
                  <c:v>2300</c:v>
                </c:pt>
                <c:pt idx="33">
                  <c:v>2325</c:v>
                </c:pt>
                <c:pt idx="34">
                  <c:v>2350</c:v>
                </c:pt>
                <c:pt idx="35">
                  <c:v>2375</c:v>
                </c:pt>
                <c:pt idx="36">
                  <c:v>2400</c:v>
                </c:pt>
                <c:pt idx="37">
                  <c:v>2425</c:v>
                </c:pt>
                <c:pt idx="38">
                  <c:v>2450</c:v>
                </c:pt>
                <c:pt idx="39">
                  <c:v>2475</c:v>
                </c:pt>
                <c:pt idx="40">
                  <c:v>2500</c:v>
                </c:pt>
                <c:pt idx="41">
                  <c:v>2525</c:v>
                </c:pt>
                <c:pt idx="42">
                  <c:v>2550</c:v>
                </c:pt>
                <c:pt idx="43">
                  <c:v>2575</c:v>
                </c:pt>
                <c:pt idx="44">
                  <c:v>2600</c:v>
                </c:pt>
                <c:pt idx="45">
                  <c:v>2625</c:v>
                </c:pt>
                <c:pt idx="46">
                  <c:v>2650</c:v>
                </c:pt>
                <c:pt idx="47">
                  <c:v>2675</c:v>
                </c:pt>
                <c:pt idx="48">
                  <c:v>2700</c:v>
                </c:pt>
                <c:pt idx="49">
                  <c:v>2725</c:v>
                </c:pt>
                <c:pt idx="50">
                  <c:v>2750</c:v>
                </c:pt>
                <c:pt idx="51">
                  <c:v>2775</c:v>
                </c:pt>
                <c:pt idx="52">
                  <c:v>2800</c:v>
                </c:pt>
                <c:pt idx="53">
                  <c:v>2825</c:v>
                </c:pt>
                <c:pt idx="54">
                  <c:v>2850</c:v>
                </c:pt>
                <c:pt idx="55">
                  <c:v>2875</c:v>
                </c:pt>
                <c:pt idx="56">
                  <c:v>2900</c:v>
                </c:pt>
                <c:pt idx="57">
                  <c:v>2925</c:v>
                </c:pt>
                <c:pt idx="58">
                  <c:v>2950</c:v>
                </c:pt>
                <c:pt idx="59">
                  <c:v>2975</c:v>
                </c:pt>
                <c:pt idx="60">
                  <c:v>3000</c:v>
                </c:pt>
              </c:numCache>
            </c:numRef>
          </c:cat>
          <c:val>
            <c:numRef>
              <c:f>'Stress Test de la stratégie 2'!$AJ$6:$AJ$72</c:f>
              <c:numCache>
                <c:formatCode>General</c:formatCode>
                <c:ptCount val="67"/>
                <c:pt idx="0">
                  <c:v>-901.69</c:v>
                </c:pt>
                <c:pt idx="1">
                  <c:v>-876.69</c:v>
                </c:pt>
                <c:pt idx="2">
                  <c:v>-851.69</c:v>
                </c:pt>
                <c:pt idx="3">
                  <c:v>-826.69</c:v>
                </c:pt>
                <c:pt idx="4">
                  <c:v>-801.69</c:v>
                </c:pt>
                <c:pt idx="5">
                  <c:v>-776.69</c:v>
                </c:pt>
                <c:pt idx="6">
                  <c:v>-751.69</c:v>
                </c:pt>
                <c:pt idx="7">
                  <c:v>-726.69</c:v>
                </c:pt>
                <c:pt idx="8">
                  <c:v>-701.69</c:v>
                </c:pt>
                <c:pt idx="9">
                  <c:v>-676.69</c:v>
                </c:pt>
                <c:pt idx="10">
                  <c:v>-651.69000000000005</c:v>
                </c:pt>
                <c:pt idx="11">
                  <c:v>-626.69000000000005</c:v>
                </c:pt>
                <c:pt idx="12">
                  <c:v>-601.69000000000005</c:v>
                </c:pt>
                <c:pt idx="13">
                  <c:v>-576.69000000000005</c:v>
                </c:pt>
                <c:pt idx="14">
                  <c:v>-551.69000000000005</c:v>
                </c:pt>
                <c:pt idx="15">
                  <c:v>-526.69000000000005</c:v>
                </c:pt>
                <c:pt idx="16">
                  <c:v>-501.69000000000005</c:v>
                </c:pt>
                <c:pt idx="17">
                  <c:v>-476.69000000000005</c:v>
                </c:pt>
                <c:pt idx="18">
                  <c:v>-451.69000000000005</c:v>
                </c:pt>
                <c:pt idx="19">
                  <c:v>-426.69000000000005</c:v>
                </c:pt>
                <c:pt idx="20">
                  <c:v>-401.69000000000005</c:v>
                </c:pt>
                <c:pt idx="21">
                  <c:v>-376.69000000000005</c:v>
                </c:pt>
                <c:pt idx="22">
                  <c:v>-351.69000000000005</c:v>
                </c:pt>
                <c:pt idx="23">
                  <c:v>-326.69000000000005</c:v>
                </c:pt>
                <c:pt idx="24">
                  <c:v>-301.69000000000005</c:v>
                </c:pt>
                <c:pt idx="25">
                  <c:v>-276.69000000000005</c:v>
                </c:pt>
                <c:pt idx="26">
                  <c:v>-251.69000000000005</c:v>
                </c:pt>
                <c:pt idx="27">
                  <c:v>-226.69000000000005</c:v>
                </c:pt>
                <c:pt idx="28">
                  <c:v>-201.69000000000005</c:v>
                </c:pt>
                <c:pt idx="29">
                  <c:v>-176.69000000000005</c:v>
                </c:pt>
                <c:pt idx="30">
                  <c:v>-151.69000000000005</c:v>
                </c:pt>
                <c:pt idx="31">
                  <c:v>-126.69000000000005</c:v>
                </c:pt>
                <c:pt idx="32">
                  <c:v>-101.69000000000005</c:v>
                </c:pt>
                <c:pt idx="33">
                  <c:v>-76.690000000000055</c:v>
                </c:pt>
                <c:pt idx="34">
                  <c:v>-51.690000000000055</c:v>
                </c:pt>
                <c:pt idx="35">
                  <c:v>-26.690000000000055</c:v>
                </c:pt>
                <c:pt idx="36">
                  <c:v>-1.6900000000000546</c:v>
                </c:pt>
                <c:pt idx="37">
                  <c:v>23.309999999999945</c:v>
                </c:pt>
                <c:pt idx="38">
                  <c:v>48.309999999999945</c:v>
                </c:pt>
                <c:pt idx="39">
                  <c:v>73.309999999999945</c:v>
                </c:pt>
                <c:pt idx="40">
                  <c:v>98.309999999999945</c:v>
                </c:pt>
                <c:pt idx="41">
                  <c:v>123.30999999999995</c:v>
                </c:pt>
                <c:pt idx="42">
                  <c:v>148.30999999999995</c:v>
                </c:pt>
                <c:pt idx="43">
                  <c:v>173.30999999999995</c:v>
                </c:pt>
                <c:pt idx="44">
                  <c:v>198.30999999999995</c:v>
                </c:pt>
                <c:pt idx="45">
                  <c:v>223.30999999999995</c:v>
                </c:pt>
                <c:pt idx="46">
                  <c:v>248.30999999999995</c:v>
                </c:pt>
                <c:pt idx="47">
                  <c:v>273.30999999999995</c:v>
                </c:pt>
                <c:pt idx="48">
                  <c:v>298.30999999999995</c:v>
                </c:pt>
                <c:pt idx="49">
                  <c:v>323.30999999999995</c:v>
                </c:pt>
                <c:pt idx="50">
                  <c:v>348.30999999999995</c:v>
                </c:pt>
                <c:pt idx="51">
                  <c:v>373.30999999999995</c:v>
                </c:pt>
                <c:pt idx="52">
                  <c:v>398.30999999999995</c:v>
                </c:pt>
                <c:pt idx="53">
                  <c:v>423.30999999999995</c:v>
                </c:pt>
                <c:pt idx="54">
                  <c:v>448.30999999999995</c:v>
                </c:pt>
                <c:pt idx="55">
                  <c:v>473.30999999999995</c:v>
                </c:pt>
                <c:pt idx="56">
                  <c:v>498.30999999999995</c:v>
                </c:pt>
                <c:pt idx="57">
                  <c:v>523.30999999999995</c:v>
                </c:pt>
                <c:pt idx="58">
                  <c:v>548.30999999999995</c:v>
                </c:pt>
                <c:pt idx="59">
                  <c:v>573.30999999999995</c:v>
                </c:pt>
                <c:pt idx="60">
                  <c:v>598.30999999999995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61-4F42-8FD8-26D932587E1D}"/>
            </c:ext>
          </c:extLst>
        </c:ser>
        <c:ser>
          <c:idx val="2"/>
          <c:order val="1"/>
          <c:tx>
            <c:strRef>
              <c:f>'Stress Test de la stratégie 2'!$AM$5</c:f>
              <c:strCache>
                <c:ptCount val="1"/>
                <c:pt idx="0">
                  <c:v> Put Spread + Indice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'Stress Test de la stratégie 2'!$AI$6:$AI$72</c:f>
              <c:numCache>
                <c:formatCode>General</c:formatCode>
                <c:ptCount val="67"/>
                <c:pt idx="0">
                  <c:v>1500</c:v>
                </c:pt>
                <c:pt idx="1">
                  <c:v>1525</c:v>
                </c:pt>
                <c:pt idx="2">
                  <c:v>1550</c:v>
                </c:pt>
                <c:pt idx="3">
                  <c:v>1575</c:v>
                </c:pt>
                <c:pt idx="4">
                  <c:v>1600</c:v>
                </c:pt>
                <c:pt idx="5">
                  <c:v>1625</c:v>
                </c:pt>
                <c:pt idx="6">
                  <c:v>1650</c:v>
                </c:pt>
                <c:pt idx="7">
                  <c:v>1675</c:v>
                </c:pt>
                <c:pt idx="8">
                  <c:v>1700</c:v>
                </c:pt>
                <c:pt idx="9">
                  <c:v>1725</c:v>
                </c:pt>
                <c:pt idx="10">
                  <c:v>1750</c:v>
                </c:pt>
                <c:pt idx="11">
                  <c:v>1775</c:v>
                </c:pt>
                <c:pt idx="12">
                  <c:v>1800</c:v>
                </c:pt>
                <c:pt idx="13">
                  <c:v>1825</c:v>
                </c:pt>
                <c:pt idx="14">
                  <c:v>1850</c:v>
                </c:pt>
                <c:pt idx="15">
                  <c:v>1875</c:v>
                </c:pt>
                <c:pt idx="16">
                  <c:v>1900</c:v>
                </c:pt>
                <c:pt idx="17">
                  <c:v>1925</c:v>
                </c:pt>
                <c:pt idx="18">
                  <c:v>1950</c:v>
                </c:pt>
                <c:pt idx="19">
                  <c:v>1975</c:v>
                </c:pt>
                <c:pt idx="20">
                  <c:v>2000</c:v>
                </c:pt>
                <c:pt idx="21">
                  <c:v>2025</c:v>
                </c:pt>
                <c:pt idx="22">
                  <c:v>2050</c:v>
                </c:pt>
                <c:pt idx="23">
                  <c:v>2075</c:v>
                </c:pt>
                <c:pt idx="24">
                  <c:v>2100</c:v>
                </c:pt>
                <c:pt idx="25">
                  <c:v>2125</c:v>
                </c:pt>
                <c:pt idx="26">
                  <c:v>2150</c:v>
                </c:pt>
                <c:pt idx="27">
                  <c:v>2175</c:v>
                </c:pt>
                <c:pt idx="28">
                  <c:v>2200</c:v>
                </c:pt>
                <c:pt idx="29">
                  <c:v>2225</c:v>
                </c:pt>
                <c:pt idx="30">
                  <c:v>2250</c:v>
                </c:pt>
                <c:pt idx="31">
                  <c:v>2275</c:v>
                </c:pt>
                <c:pt idx="32">
                  <c:v>2300</c:v>
                </c:pt>
                <c:pt idx="33">
                  <c:v>2325</c:v>
                </c:pt>
                <c:pt idx="34">
                  <c:v>2350</c:v>
                </c:pt>
                <c:pt idx="35">
                  <c:v>2375</c:v>
                </c:pt>
                <c:pt idx="36">
                  <c:v>2400</c:v>
                </c:pt>
                <c:pt idx="37">
                  <c:v>2425</c:v>
                </c:pt>
                <c:pt idx="38">
                  <c:v>2450</c:v>
                </c:pt>
                <c:pt idx="39">
                  <c:v>2475</c:v>
                </c:pt>
                <c:pt idx="40">
                  <c:v>2500</c:v>
                </c:pt>
                <c:pt idx="41">
                  <c:v>2525</c:v>
                </c:pt>
                <c:pt idx="42">
                  <c:v>2550</c:v>
                </c:pt>
                <c:pt idx="43">
                  <c:v>2575</c:v>
                </c:pt>
                <c:pt idx="44">
                  <c:v>2600</c:v>
                </c:pt>
                <c:pt idx="45">
                  <c:v>2625</c:v>
                </c:pt>
                <c:pt idx="46">
                  <c:v>2650</c:v>
                </c:pt>
                <c:pt idx="47">
                  <c:v>2675</c:v>
                </c:pt>
                <c:pt idx="48">
                  <c:v>2700</c:v>
                </c:pt>
                <c:pt idx="49">
                  <c:v>2725</c:v>
                </c:pt>
                <c:pt idx="50">
                  <c:v>2750</c:v>
                </c:pt>
                <c:pt idx="51">
                  <c:v>2775</c:v>
                </c:pt>
                <c:pt idx="52">
                  <c:v>2800</c:v>
                </c:pt>
                <c:pt idx="53">
                  <c:v>2825</c:v>
                </c:pt>
                <c:pt idx="54">
                  <c:v>2850</c:v>
                </c:pt>
                <c:pt idx="55">
                  <c:v>2875</c:v>
                </c:pt>
                <c:pt idx="56">
                  <c:v>2900</c:v>
                </c:pt>
                <c:pt idx="57">
                  <c:v>2925</c:v>
                </c:pt>
                <c:pt idx="58">
                  <c:v>2950</c:v>
                </c:pt>
                <c:pt idx="59">
                  <c:v>2975</c:v>
                </c:pt>
                <c:pt idx="60">
                  <c:v>3000</c:v>
                </c:pt>
              </c:numCache>
            </c:numRef>
          </c:cat>
          <c:val>
            <c:numRef>
              <c:f>'Stress Test de la stratégie 2'!$AM$6:$AM$72</c:f>
              <c:numCache>
                <c:formatCode>_-* #\ ##0.00\ _€_-;\-* #\ ##0.00\ _€_-;_-* "-"??\ _€_-;_-@_-</c:formatCode>
                <c:ptCount val="67"/>
                <c:pt idx="0">
                  <c:v>-723.79000000000008</c:v>
                </c:pt>
                <c:pt idx="1">
                  <c:v>-698.79000000000008</c:v>
                </c:pt>
                <c:pt idx="2">
                  <c:v>-673.79000000000008</c:v>
                </c:pt>
                <c:pt idx="3">
                  <c:v>-648.79000000000008</c:v>
                </c:pt>
                <c:pt idx="4">
                  <c:v>-623.79000000000008</c:v>
                </c:pt>
                <c:pt idx="5">
                  <c:v>-598.79000000000008</c:v>
                </c:pt>
                <c:pt idx="6">
                  <c:v>-573.79000000000008</c:v>
                </c:pt>
                <c:pt idx="7">
                  <c:v>-548.79000000000008</c:v>
                </c:pt>
                <c:pt idx="8">
                  <c:v>-523.79000000000008</c:v>
                </c:pt>
                <c:pt idx="9">
                  <c:v>-498.79000000000008</c:v>
                </c:pt>
                <c:pt idx="10">
                  <c:v>-473.79000000000008</c:v>
                </c:pt>
                <c:pt idx="11">
                  <c:v>-448.79000000000008</c:v>
                </c:pt>
                <c:pt idx="12">
                  <c:v>-423.79000000000008</c:v>
                </c:pt>
                <c:pt idx="13">
                  <c:v>-398.79000000000008</c:v>
                </c:pt>
                <c:pt idx="14">
                  <c:v>-373.79000000000008</c:v>
                </c:pt>
                <c:pt idx="15">
                  <c:v>-348.79000000000008</c:v>
                </c:pt>
                <c:pt idx="16">
                  <c:v>-323.79000000000008</c:v>
                </c:pt>
                <c:pt idx="17">
                  <c:v>-323.79000000000008</c:v>
                </c:pt>
                <c:pt idx="18">
                  <c:v>-323.79000000000008</c:v>
                </c:pt>
                <c:pt idx="19">
                  <c:v>-323.79000000000008</c:v>
                </c:pt>
                <c:pt idx="20">
                  <c:v>-323.79000000000008</c:v>
                </c:pt>
                <c:pt idx="21">
                  <c:v>-323.79000000000008</c:v>
                </c:pt>
                <c:pt idx="22">
                  <c:v>-323.79000000000008</c:v>
                </c:pt>
                <c:pt idx="23">
                  <c:v>-323.79000000000008</c:v>
                </c:pt>
                <c:pt idx="24">
                  <c:v>-323.79000000000008</c:v>
                </c:pt>
                <c:pt idx="25">
                  <c:v>-298.79000000000008</c:v>
                </c:pt>
                <c:pt idx="26">
                  <c:v>-273.79000000000008</c:v>
                </c:pt>
                <c:pt idx="27">
                  <c:v>-248.79000000000005</c:v>
                </c:pt>
                <c:pt idx="28">
                  <c:v>-223.79000000000005</c:v>
                </c:pt>
                <c:pt idx="29">
                  <c:v>-198.79000000000005</c:v>
                </c:pt>
                <c:pt idx="30">
                  <c:v>-173.79000000000005</c:v>
                </c:pt>
                <c:pt idx="31">
                  <c:v>-148.79000000000005</c:v>
                </c:pt>
                <c:pt idx="32">
                  <c:v>-123.79000000000005</c:v>
                </c:pt>
                <c:pt idx="33">
                  <c:v>-98.790000000000049</c:v>
                </c:pt>
                <c:pt idx="34">
                  <c:v>-73.790000000000049</c:v>
                </c:pt>
                <c:pt idx="35">
                  <c:v>-48.790000000000056</c:v>
                </c:pt>
                <c:pt idx="36">
                  <c:v>-23.790000000000056</c:v>
                </c:pt>
                <c:pt idx="37">
                  <c:v>1.209999999999944</c:v>
                </c:pt>
                <c:pt idx="38">
                  <c:v>26.209999999999944</c:v>
                </c:pt>
                <c:pt idx="39">
                  <c:v>51.209999999999944</c:v>
                </c:pt>
                <c:pt idx="40">
                  <c:v>76.209999999999951</c:v>
                </c:pt>
                <c:pt idx="41">
                  <c:v>101.20999999999995</c:v>
                </c:pt>
                <c:pt idx="42">
                  <c:v>126.20999999999995</c:v>
                </c:pt>
                <c:pt idx="43">
                  <c:v>151.20999999999995</c:v>
                </c:pt>
                <c:pt idx="44">
                  <c:v>176.20999999999995</c:v>
                </c:pt>
                <c:pt idx="45">
                  <c:v>201.20999999999995</c:v>
                </c:pt>
                <c:pt idx="46">
                  <c:v>226.20999999999995</c:v>
                </c:pt>
                <c:pt idx="47">
                  <c:v>251.20999999999995</c:v>
                </c:pt>
                <c:pt idx="48">
                  <c:v>276.20999999999992</c:v>
                </c:pt>
                <c:pt idx="49">
                  <c:v>301.20999999999992</c:v>
                </c:pt>
                <c:pt idx="50">
                  <c:v>326.20999999999992</c:v>
                </c:pt>
                <c:pt idx="51">
                  <c:v>351.20999999999992</c:v>
                </c:pt>
                <c:pt idx="52">
                  <c:v>376.20999999999992</c:v>
                </c:pt>
                <c:pt idx="53">
                  <c:v>401.20999999999992</c:v>
                </c:pt>
                <c:pt idx="54">
                  <c:v>426.20999999999992</c:v>
                </c:pt>
                <c:pt idx="55">
                  <c:v>451.20999999999992</c:v>
                </c:pt>
                <c:pt idx="56">
                  <c:v>476.20999999999992</c:v>
                </c:pt>
                <c:pt idx="57">
                  <c:v>501.20999999999992</c:v>
                </c:pt>
                <c:pt idx="58">
                  <c:v>526.20999999999992</c:v>
                </c:pt>
                <c:pt idx="59">
                  <c:v>551.20999999999992</c:v>
                </c:pt>
                <c:pt idx="60">
                  <c:v>576.20999999999992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61-4F42-8FD8-26D932587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0082591"/>
        <c:axId val="1330081151"/>
      </c:lineChart>
      <c:catAx>
        <c:axId val="133008259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Niveau</a:t>
                </a:r>
                <a:r>
                  <a:rPr lang="fr-FR" baseline="0"/>
                  <a:t> de l'indice à maturité</a:t>
                </a: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30081151"/>
        <c:crosses val="autoZero"/>
        <c:auto val="1"/>
        <c:lblAlgn val="ctr"/>
        <c:lblOffset val="100"/>
        <c:noMultiLvlLbl val="0"/>
      </c:catAx>
      <c:valAx>
        <c:axId val="1330081151"/>
        <c:scaling>
          <c:orientation val="minMax"/>
          <c:max val="6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P&amp;L à maturité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30082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dk1">
          <a:alpha val="98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baseline="0"/>
              <a:t>Comparaison du Coût de Portage (Gamma + Thêta) : Stratégie 1 vs Stratégie 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'Backtest Stratégie 2'!$AA$5</c:f>
              <c:strCache>
                <c:ptCount val="1"/>
                <c:pt idx="0">
                  <c:v>Cumul Gamma + Thêta P&amp;L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'Backtest Stratégie 2'!$A$6:$A$49</c:f>
              <c:numCache>
                <c:formatCode>m/d/yyyy</c:formatCode>
                <c:ptCount val="44"/>
                <c:pt idx="0">
                  <c:v>39994</c:v>
                </c:pt>
                <c:pt idx="1">
                  <c:v>39995</c:v>
                </c:pt>
                <c:pt idx="2">
                  <c:v>39996</c:v>
                </c:pt>
                <c:pt idx="3">
                  <c:v>39997</c:v>
                </c:pt>
                <c:pt idx="4">
                  <c:v>40000</c:v>
                </c:pt>
                <c:pt idx="5">
                  <c:v>40001</c:v>
                </c:pt>
                <c:pt idx="6">
                  <c:v>40002</c:v>
                </c:pt>
                <c:pt idx="7">
                  <c:v>40003</c:v>
                </c:pt>
                <c:pt idx="8">
                  <c:v>40004</c:v>
                </c:pt>
                <c:pt idx="9">
                  <c:v>40007</c:v>
                </c:pt>
                <c:pt idx="10">
                  <c:v>40008</c:v>
                </c:pt>
                <c:pt idx="11">
                  <c:v>40009</c:v>
                </c:pt>
                <c:pt idx="12">
                  <c:v>40010</c:v>
                </c:pt>
                <c:pt idx="13">
                  <c:v>40011</c:v>
                </c:pt>
                <c:pt idx="14">
                  <c:v>40014</c:v>
                </c:pt>
                <c:pt idx="15">
                  <c:v>40015</c:v>
                </c:pt>
                <c:pt idx="16">
                  <c:v>40016</c:v>
                </c:pt>
                <c:pt idx="17">
                  <c:v>40017</c:v>
                </c:pt>
                <c:pt idx="18">
                  <c:v>40018</c:v>
                </c:pt>
                <c:pt idx="19">
                  <c:v>40021</c:v>
                </c:pt>
                <c:pt idx="20">
                  <c:v>40022</c:v>
                </c:pt>
                <c:pt idx="21">
                  <c:v>40023</c:v>
                </c:pt>
                <c:pt idx="22">
                  <c:v>40024</c:v>
                </c:pt>
                <c:pt idx="23">
                  <c:v>40025</c:v>
                </c:pt>
                <c:pt idx="24">
                  <c:v>40028</c:v>
                </c:pt>
                <c:pt idx="25">
                  <c:v>40029</c:v>
                </c:pt>
                <c:pt idx="26">
                  <c:v>40030</c:v>
                </c:pt>
                <c:pt idx="27">
                  <c:v>40031</c:v>
                </c:pt>
                <c:pt idx="28">
                  <c:v>40032</c:v>
                </c:pt>
                <c:pt idx="29">
                  <c:v>40035</c:v>
                </c:pt>
                <c:pt idx="30">
                  <c:v>40036</c:v>
                </c:pt>
                <c:pt idx="31">
                  <c:v>40037</c:v>
                </c:pt>
                <c:pt idx="32">
                  <c:v>40038</c:v>
                </c:pt>
                <c:pt idx="33">
                  <c:v>40039</c:v>
                </c:pt>
                <c:pt idx="34">
                  <c:v>40042</c:v>
                </c:pt>
                <c:pt idx="35">
                  <c:v>40043</c:v>
                </c:pt>
                <c:pt idx="36">
                  <c:v>40044</c:v>
                </c:pt>
                <c:pt idx="37">
                  <c:v>40045</c:v>
                </c:pt>
                <c:pt idx="38">
                  <c:v>40046</c:v>
                </c:pt>
                <c:pt idx="39">
                  <c:v>40049</c:v>
                </c:pt>
                <c:pt idx="40">
                  <c:v>40050</c:v>
                </c:pt>
                <c:pt idx="41">
                  <c:v>40051</c:v>
                </c:pt>
                <c:pt idx="42">
                  <c:v>40052</c:v>
                </c:pt>
                <c:pt idx="43">
                  <c:v>40053</c:v>
                </c:pt>
              </c:numCache>
            </c:numRef>
          </c:cat>
          <c:val>
            <c:numRef>
              <c:f>'Backtest Stratégie 2'!$AA$6:$AA$49</c:f>
              <c:numCache>
                <c:formatCode>General</c:formatCode>
                <c:ptCount val="44"/>
                <c:pt idx="1">
                  <c:v>0.16847270771395492</c:v>
                </c:pt>
                <c:pt idx="2">
                  <c:v>0.8998004418356309</c:v>
                </c:pt>
                <c:pt idx="3">
                  <c:v>0.70850604226183655</c:v>
                </c:pt>
                <c:pt idx="4">
                  <c:v>0.24275985251075854</c:v>
                </c:pt>
                <c:pt idx="5">
                  <c:v>0.12249194759218736</c:v>
                </c:pt>
                <c:pt idx="6">
                  <c:v>5.8557597504302825E-2</c:v>
                </c:pt>
                <c:pt idx="7">
                  <c:v>-6.8543901796652332E-2</c:v>
                </c:pt>
                <c:pt idx="8">
                  <c:v>-9.4954165030772045E-2</c:v>
                </c:pt>
                <c:pt idx="9">
                  <c:v>8.6747626579169665E-2</c:v>
                </c:pt>
                <c:pt idx="10">
                  <c:v>-3.5305861134915975E-2</c:v>
                </c:pt>
                <c:pt idx="11">
                  <c:v>0.9609362225187047</c:v>
                </c:pt>
                <c:pt idx="12">
                  <c:v>0.74389603583222985</c:v>
                </c:pt>
                <c:pt idx="13">
                  <c:v>0.53623756262896372</c:v>
                </c:pt>
                <c:pt idx="14">
                  <c:v>4.7448453426620407E-2</c:v>
                </c:pt>
                <c:pt idx="15">
                  <c:v>-0.10828352124329527</c:v>
                </c:pt>
                <c:pt idx="16">
                  <c:v>-0.30061661449462762</c:v>
                </c:pt>
                <c:pt idx="17">
                  <c:v>-0.10677503738661176</c:v>
                </c:pt>
                <c:pt idx="18">
                  <c:v>-0.2662315819315712</c:v>
                </c:pt>
                <c:pt idx="19">
                  <c:v>-0.73579591806389399</c:v>
                </c:pt>
                <c:pt idx="20">
                  <c:v>-0.83013516925624697</c:v>
                </c:pt>
                <c:pt idx="21">
                  <c:v>-0.93807530733817202</c:v>
                </c:pt>
                <c:pt idx="22">
                  <c:v>-0.84396226834512733</c:v>
                </c:pt>
                <c:pt idx="23">
                  <c:v>-0.9603844413900724</c:v>
                </c:pt>
                <c:pt idx="24">
                  <c:v>-1.334671731852352</c:v>
                </c:pt>
                <c:pt idx="25">
                  <c:v>-1.4801546423954863</c:v>
                </c:pt>
                <c:pt idx="26">
                  <c:v>-1.585430938494977</c:v>
                </c:pt>
                <c:pt idx="27">
                  <c:v>-1.7138451379753272</c:v>
                </c:pt>
                <c:pt idx="28">
                  <c:v>-1.7271507298777053</c:v>
                </c:pt>
                <c:pt idx="29">
                  <c:v>-2.019921534793697</c:v>
                </c:pt>
                <c:pt idx="30">
                  <c:v>-2.0563998100894665</c:v>
                </c:pt>
                <c:pt idx="31">
                  <c:v>-2.121851253105699</c:v>
                </c:pt>
                <c:pt idx="32">
                  <c:v>-2.2387163862042452</c:v>
                </c:pt>
                <c:pt idx="33">
                  <c:v>-2.3019136645250309</c:v>
                </c:pt>
                <c:pt idx="34">
                  <c:v>-2.5306794585615489</c:v>
                </c:pt>
                <c:pt idx="35">
                  <c:v>-2.7105406841870514</c:v>
                </c:pt>
                <c:pt idx="36">
                  <c:v>-2.890972550974964</c:v>
                </c:pt>
                <c:pt idx="37">
                  <c:v>-3.0034411188361951</c:v>
                </c:pt>
                <c:pt idx="38">
                  <c:v>-2.7936033563105127</c:v>
                </c:pt>
                <c:pt idx="39">
                  <c:v>-2.9861049970213398</c:v>
                </c:pt>
                <c:pt idx="40">
                  <c:v>-3.072549721540375</c:v>
                </c:pt>
                <c:pt idx="41">
                  <c:v>-3.1658627003084341</c:v>
                </c:pt>
                <c:pt idx="42">
                  <c:v>-3.2633450101281163</c:v>
                </c:pt>
                <c:pt idx="43">
                  <c:v>-3.325880925982299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97-4DF9-A801-65D52B8F5DBC}"/>
            </c:ext>
          </c:extLst>
        </c:ser>
        <c:ser>
          <c:idx val="1"/>
          <c:order val="1"/>
          <c:tx>
            <c:strRef>
              <c:f>'Backtest Stratégie 2'!$AE$5</c:f>
              <c:strCache>
                <c:ptCount val="1"/>
                <c:pt idx="0">
                  <c:v>G+T Strat 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'Backtest Stratégie 2'!$A$6:$A$49</c:f>
              <c:numCache>
                <c:formatCode>m/d/yyyy</c:formatCode>
                <c:ptCount val="44"/>
                <c:pt idx="0">
                  <c:v>39994</c:v>
                </c:pt>
                <c:pt idx="1">
                  <c:v>39995</c:v>
                </c:pt>
                <c:pt idx="2">
                  <c:v>39996</c:v>
                </c:pt>
                <c:pt idx="3">
                  <c:v>39997</c:v>
                </c:pt>
                <c:pt idx="4">
                  <c:v>40000</c:v>
                </c:pt>
                <c:pt idx="5">
                  <c:v>40001</c:v>
                </c:pt>
                <c:pt idx="6">
                  <c:v>40002</c:v>
                </c:pt>
                <c:pt idx="7">
                  <c:v>40003</c:v>
                </c:pt>
                <c:pt idx="8">
                  <c:v>40004</c:v>
                </c:pt>
                <c:pt idx="9">
                  <c:v>40007</c:v>
                </c:pt>
                <c:pt idx="10">
                  <c:v>40008</c:v>
                </c:pt>
                <c:pt idx="11">
                  <c:v>40009</c:v>
                </c:pt>
                <c:pt idx="12">
                  <c:v>40010</c:v>
                </c:pt>
                <c:pt idx="13">
                  <c:v>40011</c:v>
                </c:pt>
                <c:pt idx="14">
                  <c:v>40014</c:v>
                </c:pt>
                <c:pt idx="15">
                  <c:v>40015</c:v>
                </c:pt>
                <c:pt idx="16">
                  <c:v>40016</c:v>
                </c:pt>
                <c:pt idx="17">
                  <c:v>40017</c:v>
                </c:pt>
                <c:pt idx="18">
                  <c:v>40018</c:v>
                </c:pt>
                <c:pt idx="19">
                  <c:v>40021</c:v>
                </c:pt>
                <c:pt idx="20">
                  <c:v>40022</c:v>
                </c:pt>
                <c:pt idx="21">
                  <c:v>40023</c:v>
                </c:pt>
                <c:pt idx="22">
                  <c:v>40024</c:v>
                </c:pt>
                <c:pt idx="23">
                  <c:v>40025</c:v>
                </c:pt>
                <c:pt idx="24">
                  <c:v>40028</c:v>
                </c:pt>
                <c:pt idx="25">
                  <c:v>40029</c:v>
                </c:pt>
                <c:pt idx="26">
                  <c:v>40030</c:v>
                </c:pt>
                <c:pt idx="27">
                  <c:v>40031</c:v>
                </c:pt>
                <c:pt idx="28">
                  <c:v>40032</c:v>
                </c:pt>
                <c:pt idx="29">
                  <c:v>40035</c:v>
                </c:pt>
                <c:pt idx="30">
                  <c:v>40036</c:v>
                </c:pt>
                <c:pt idx="31">
                  <c:v>40037</c:v>
                </c:pt>
                <c:pt idx="32">
                  <c:v>40038</c:v>
                </c:pt>
                <c:pt idx="33">
                  <c:v>40039</c:v>
                </c:pt>
                <c:pt idx="34">
                  <c:v>40042</c:v>
                </c:pt>
                <c:pt idx="35">
                  <c:v>40043</c:v>
                </c:pt>
                <c:pt idx="36">
                  <c:v>40044</c:v>
                </c:pt>
                <c:pt idx="37">
                  <c:v>40045</c:v>
                </c:pt>
                <c:pt idx="38">
                  <c:v>40046</c:v>
                </c:pt>
                <c:pt idx="39">
                  <c:v>40049</c:v>
                </c:pt>
                <c:pt idx="40">
                  <c:v>40050</c:v>
                </c:pt>
                <c:pt idx="41">
                  <c:v>40051</c:v>
                </c:pt>
                <c:pt idx="42">
                  <c:v>40052</c:v>
                </c:pt>
                <c:pt idx="43">
                  <c:v>40053</c:v>
                </c:pt>
              </c:numCache>
            </c:numRef>
          </c:cat>
          <c:val>
            <c:numRef>
              <c:f>'Backtest Stratégie 2'!$AE$6:$AE$49</c:f>
              <c:numCache>
                <c:formatCode>General</c:formatCode>
                <c:ptCount val="44"/>
                <c:pt idx="1">
                  <c:v>0.14479408843525021</c:v>
                </c:pt>
                <c:pt idx="2">
                  <c:v>1.4451206140628288</c:v>
                </c:pt>
                <c:pt idx="3">
                  <c:v>0.78266488475618989</c:v>
                </c:pt>
                <c:pt idx="4">
                  <c:v>-0.93116212689460776</c:v>
                </c:pt>
                <c:pt idx="5">
                  <c:v>-1.4743838820453721</c:v>
                </c:pt>
                <c:pt idx="6">
                  <c:v>-1.906321226244734</c:v>
                </c:pt>
                <c:pt idx="7">
                  <c:v>-2.5183083721088204</c:v>
                </c:pt>
                <c:pt idx="8">
                  <c:v>-2.848068956823079</c:v>
                </c:pt>
                <c:pt idx="9">
                  <c:v>-3.3532244561769882</c:v>
                </c:pt>
                <c:pt idx="10">
                  <c:v>-3.8330599002560848</c:v>
                </c:pt>
                <c:pt idx="11">
                  <c:v>-2.0828814667711097</c:v>
                </c:pt>
                <c:pt idx="12">
                  <c:v>-2.6214725787687301</c:v>
                </c:pt>
                <c:pt idx="13">
                  <c:v>-3.1364473934191777</c:v>
                </c:pt>
                <c:pt idx="14">
                  <c:v>-4.3989529324863241</c:v>
                </c:pt>
                <c:pt idx="15">
                  <c:v>-4.798419226881264</c:v>
                </c:pt>
                <c:pt idx="16">
                  <c:v>-5.2423669276114202</c:v>
                </c:pt>
                <c:pt idx="17">
                  <c:v>-5.0175538651593987</c:v>
                </c:pt>
                <c:pt idx="18">
                  <c:v>-5.3745667914261039</c:v>
                </c:pt>
                <c:pt idx="19">
                  <c:v>-6.4618573549033815</c:v>
                </c:pt>
                <c:pt idx="20">
                  <c:v>-6.7201723484293883</c:v>
                </c:pt>
                <c:pt idx="21">
                  <c:v>-7.0061545484419456</c:v>
                </c:pt>
                <c:pt idx="22">
                  <c:v>-6.9436640819315105</c:v>
                </c:pt>
                <c:pt idx="23">
                  <c:v>-7.228592143185387</c:v>
                </c:pt>
                <c:pt idx="24">
                  <c:v>-8.1494456454939836</c:v>
                </c:pt>
                <c:pt idx="25">
                  <c:v>-8.4875567197058857</c:v>
                </c:pt>
                <c:pt idx="26">
                  <c:v>-8.733991799133257</c:v>
                </c:pt>
                <c:pt idx="27">
                  <c:v>-9.0169496478072695</c:v>
                </c:pt>
                <c:pt idx="28">
                  <c:v>-9.1054977224144853</c:v>
                </c:pt>
                <c:pt idx="29">
                  <c:v>-9.8142920586909224</c:v>
                </c:pt>
                <c:pt idx="30">
                  <c:v>-9.9245518707027198</c:v>
                </c:pt>
                <c:pt idx="31">
                  <c:v>-10.104401757535429</c:v>
                </c:pt>
                <c:pt idx="32">
                  <c:v>-10.362028884439317</c:v>
                </c:pt>
                <c:pt idx="33">
                  <c:v>-10.518804569120878</c:v>
                </c:pt>
                <c:pt idx="34">
                  <c:v>-11.057633518467524</c:v>
                </c:pt>
                <c:pt idx="35">
                  <c:v>-11.471653597090761</c:v>
                </c:pt>
                <c:pt idx="36">
                  <c:v>-11.890452833203762</c:v>
                </c:pt>
                <c:pt idx="37">
                  <c:v>-12.160301061636909</c:v>
                </c:pt>
                <c:pt idx="38">
                  <c:v>-11.909994671158438</c:v>
                </c:pt>
                <c:pt idx="39">
                  <c:v>-12.547766549789783</c:v>
                </c:pt>
                <c:pt idx="40">
                  <c:v>-12.774067525614894</c:v>
                </c:pt>
                <c:pt idx="41">
                  <c:v>-13.007333947806519</c:v>
                </c:pt>
                <c:pt idx="42">
                  <c:v>-13.250974654296424</c:v>
                </c:pt>
                <c:pt idx="43">
                  <c:v>-13.455830546884647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97-4DF9-A801-65D52B8F5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2465807"/>
        <c:axId val="1612467727"/>
      </c:lineChart>
      <c:dateAx>
        <c:axId val="161246580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12467727"/>
        <c:crosses val="autoZero"/>
        <c:auto val="1"/>
        <c:lblOffset val="100"/>
        <c:baseTimeUnit val="days"/>
      </c:dateAx>
      <c:valAx>
        <c:axId val="1612467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12465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baseline="0"/>
              <a:t>Évolution du P&amp;L Cumulé comparé à l'Euro Stoxx 50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'Backtest Stratégie 1'!$B$5</c:f>
              <c:strCache>
                <c:ptCount val="1"/>
                <c:pt idx="0">
                  <c:v>Euro Stoxx 50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'Backtest Stratégie 1'!$A$6:$A$49</c:f>
              <c:numCache>
                <c:formatCode>m/d/yyyy</c:formatCode>
                <c:ptCount val="44"/>
                <c:pt idx="0">
                  <c:v>39994</c:v>
                </c:pt>
                <c:pt idx="1">
                  <c:v>39995</c:v>
                </c:pt>
                <c:pt idx="2">
                  <c:v>39996</c:v>
                </c:pt>
                <c:pt idx="3">
                  <c:v>39997</c:v>
                </c:pt>
                <c:pt idx="4">
                  <c:v>40000</c:v>
                </c:pt>
                <c:pt idx="5">
                  <c:v>40001</c:v>
                </c:pt>
                <c:pt idx="6">
                  <c:v>40002</c:v>
                </c:pt>
                <c:pt idx="7">
                  <c:v>40003</c:v>
                </c:pt>
                <c:pt idx="8">
                  <c:v>40004</c:v>
                </c:pt>
                <c:pt idx="9">
                  <c:v>40007</c:v>
                </c:pt>
                <c:pt idx="10">
                  <c:v>40008</c:v>
                </c:pt>
                <c:pt idx="11">
                  <c:v>40009</c:v>
                </c:pt>
                <c:pt idx="12">
                  <c:v>40010</c:v>
                </c:pt>
                <c:pt idx="13">
                  <c:v>40011</c:v>
                </c:pt>
                <c:pt idx="14">
                  <c:v>40014</c:v>
                </c:pt>
                <c:pt idx="15">
                  <c:v>40015</c:v>
                </c:pt>
                <c:pt idx="16">
                  <c:v>40016</c:v>
                </c:pt>
                <c:pt idx="17">
                  <c:v>40017</c:v>
                </c:pt>
                <c:pt idx="18">
                  <c:v>40018</c:v>
                </c:pt>
                <c:pt idx="19">
                  <c:v>40021</c:v>
                </c:pt>
                <c:pt idx="20">
                  <c:v>40022</c:v>
                </c:pt>
                <c:pt idx="21">
                  <c:v>40023</c:v>
                </c:pt>
                <c:pt idx="22">
                  <c:v>40024</c:v>
                </c:pt>
                <c:pt idx="23">
                  <c:v>40025</c:v>
                </c:pt>
                <c:pt idx="24">
                  <c:v>40028</c:v>
                </c:pt>
                <c:pt idx="25">
                  <c:v>40029</c:v>
                </c:pt>
                <c:pt idx="26">
                  <c:v>40030</c:v>
                </c:pt>
                <c:pt idx="27">
                  <c:v>40031</c:v>
                </c:pt>
                <c:pt idx="28">
                  <c:v>40032</c:v>
                </c:pt>
                <c:pt idx="29">
                  <c:v>40035</c:v>
                </c:pt>
                <c:pt idx="30">
                  <c:v>40036</c:v>
                </c:pt>
                <c:pt idx="31">
                  <c:v>40037</c:v>
                </c:pt>
                <c:pt idx="32">
                  <c:v>40038</c:v>
                </c:pt>
                <c:pt idx="33">
                  <c:v>40039</c:v>
                </c:pt>
                <c:pt idx="34">
                  <c:v>40042</c:v>
                </c:pt>
                <c:pt idx="35">
                  <c:v>40043</c:v>
                </c:pt>
                <c:pt idx="36">
                  <c:v>40044</c:v>
                </c:pt>
                <c:pt idx="37">
                  <c:v>40045</c:v>
                </c:pt>
                <c:pt idx="38">
                  <c:v>40046</c:v>
                </c:pt>
                <c:pt idx="39">
                  <c:v>40049</c:v>
                </c:pt>
                <c:pt idx="40">
                  <c:v>40050</c:v>
                </c:pt>
                <c:pt idx="41">
                  <c:v>40051</c:v>
                </c:pt>
                <c:pt idx="42">
                  <c:v>40052</c:v>
                </c:pt>
                <c:pt idx="43">
                  <c:v>40053</c:v>
                </c:pt>
              </c:numCache>
            </c:numRef>
          </c:cat>
          <c:val>
            <c:numRef>
              <c:f>'Backtest Stratégie 1'!$B$6:$B$49</c:f>
              <c:numCache>
                <c:formatCode>General</c:formatCode>
                <c:ptCount val="44"/>
                <c:pt idx="0">
                  <c:v>2401.69</c:v>
                </c:pt>
                <c:pt idx="1">
                  <c:v>2449.73</c:v>
                </c:pt>
                <c:pt idx="2">
                  <c:v>2369.65</c:v>
                </c:pt>
                <c:pt idx="3">
                  <c:v>2376.48</c:v>
                </c:pt>
                <c:pt idx="4">
                  <c:v>2343.88</c:v>
                </c:pt>
                <c:pt idx="5">
                  <c:v>2320.9</c:v>
                </c:pt>
                <c:pt idx="6">
                  <c:v>2291.33</c:v>
                </c:pt>
                <c:pt idx="7">
                  <c:v>2313.87</c:v>
                </c:pt>
                <c:pt idx="8">
                  <c:v>2281.4699999999998</c:v>
                </c:pt>
                <c:pt idx="9">
                  <c:v>2345.2199999999998</c:v>
                </c:pt>
                <c:pt idx="10">
                  <c:v>2370.71</c:v>
                </c:pt>
                <c:pt idx="11">
                  <c:v>2451.02</c:v>
                </c:pt>
                <c:pt idx="12">
                  <c:v>2458.9699999999998</c:v>
                </c:pt>
                <c:pt idx="13">
                  <c:v>2469.1999999999998</c:v>
                </c:pt>
                <c:pt idx="14">
                  <c:v>2500.69</c:v>
                </c:pt>
                <c:pt idx="15">
                  <c:v>2519.9899999999998</c:v>
                </c:pt>
                <c:pt idx="16">
                  <c:v>2528.85</c:v>
                </c:pt>
                <c:pt idx="17">
                  <c:v>2585.79</c:v>
                </c:pt>
                <c:pt idx="18">
                  <c:v>2582.7600000000002</c:v>
                </c:pt>
                <c:pt idx="19">
                  <c:v>2601.41</c:v>
                </c:pt>
                <c:pt idx="20">
                  <c:v>2573.08</c:v>
                </c:pt>
                <c:pt idx="21">
                  <c:v>2600.31</c:v>
                </c:pt>
                <c:pt idx="22">
                  <c:v>2654.74</c:v>
                </c:pt>
                <c:pt idx="23">
                  <c:v>2638.13</c:v>
                </c:pt>
                <c:pt idx="24">
                  <c:v>2674.07</c:v>
                </c:pt>
                <c:pt idx="25">
                  <c:v>2670.96</c:v>
                </c:pt>
                <c:pt idx="26">
                  <c:v>2643.13</c:v>
                </c:pt>
                <c:pt idx="27">
                  <c:v>2662.01</c:v>
                </c:pt>
                <c:pt idx="28">
                  <c:v>2706.22</c:v>
                </c:pt>
                <c:pt idx="29">
                  <c:v>2693.61</c:v>
                </c:pt>
                <c:pt idx="30">
                  <c:v>2650.94</c:v>
                </c:pt>
                <c:pt idx="31">
                  <c:v>2688.21</c:v>
                </c:pt>
                <c:pt idx="32">
                  <c:v>2705.74</c:v>
                </c:pt>
                <c:pt idx="33">
                  <c:v>2669.41</c:v>
                </c:pt>
                <c:pt idx="34">
                  <c:v>2603.79</c:v>
                </c:pt>
                <c:pt idx="35">
                  <c:v>2630.6</c:v>
                </c:pt>
                <c:pt idx="36">
                  <c:v>2622.88</c:v>
                </c:pt>
                <c:pt idx="37">
                  <c:v>2663.67</c:v>
                </c:pt>
                <c:pt idx="38">
                  <c:v>2745.62</c:v>
                </c:pt>
                <c:pt idx="39">
                  <c:v>2778.34</c:v>
                </c:pt>
                <c:pt idx="40">
                  <c:v>2801.14</c:v>
                </c:pt>
                <c:pt idx="41">
                  <c:v>2788.9</c:v>
                </c:pt>
                <c:pt idx="42">
                  <c:v>2777.62</c:v>
                </c:pt>
                <c:pt idx="43">
                  <c:v>2803.65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0F-4BBF-8851-6A1A71C64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4872399"/>
        <c:axId val="1014897839"/>
      </c:lineChart>
      <c:lineChart>
        <c:grouping val="standard"/>
        <c:varyColors val="0"/>
        <c:ser>
          <c:idx val="2"/>
          <c:order val="2"/>
          <c:tx>
            <c:strRef>
              <c:f>'Backtest Stratégie 1'!$G$5</c:f>
              <c:strCache>
                <c:ptCount val="1"/>
                <c:pt idx="0">
                  <c:v>P&amp;L Long indice only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'Backtest Stratégie 2'!$A$6:$A$49</c:f>
              <c:numCache>
                <c:formatCode>m/d/yyyy</c:formatCode>
                <c:ptCount val="44"/>
                <c:pt idx="0">
                  <c:v>39994</c:v>
                </c:pt>
                <c:pt idx="1">
                  <c:v>39995</c:v>
                </c:pt>
                <c:pt idx="2">
                  <c:v>39996</c:v>
                </c:pt>
                <c:pt idx="3">
                  <c:v>39997</c:v>
                </c:pt>
                <c:pt idx="4">
                  <c:v>40000</c:v>
                </c:pt>
                <c:pt idx="5">
                  <c:v>40001</c:v>
                </c:pt>
                <c:pt idx="6">
                  <c:v>40002</c:v>
                </c:pt>
                <c:pt idx="7">
                  <c:v>40003</c:v>
                </c:pt>
                <c:pt idx="8">
                  <c:v>40004</c:v>
                </c:pt>
                <c:pt idx="9">
                  <c:v>40007</c:v>
                </c:pt>
                <c:pt idx="10">
                  <c:v>40008</c:v>
                </c:pt>
                <c:pt idx="11">
                  <c:v>40009</c:v>
                </c:pt>
                <c:pt idx="12">
                  <c:v>40010</c:v>
                </c:pt>
                <c:pt idx="13">
                  <c:v>40011</c:v>
                </c:pt>
                <c:pt idx="14">
                  <c:v>40014</c:v>
                </c:pt>
                <c:pt idx="15">
                  <c:v>40015</c:v>
                </c:pt>
                <c:pt idx="16">
                  <c:v>40016</c:v>
                </c:pt>
                <c:pt idx="17">
                  <c:v>40017</c:v>
                </c:pt>
                <c:pt idx="18">
                  <c:v>40018</c:v>
                </c:pt>
                <c:pt idx="19">
                  <c:v>40021</c:v>
                </c:pt>
                <c:pt idx="20">
                  <c:v>40022</c:v>
                </c:pt>
                <c:pt idx="21">
                  <c:v>40023</c:v>
                </c:pt>
                <c:pt idx="22">
                  <c:v>40024</c:v>
                </c:pt>
                <c:pt idx="23">
                  <c:v>40025</c:v>
                </c:pt>
                <c:pt idx="24">
                  <c:v>40028</c:v>
                </c:pt>
                <c:pt idx="25">
                  <c:v>40029</c:v>
                </c:pt>
                <c:pt idx="26">
                  <c:v>40030</c:v>
                </c:pt>
                <c:pt idx="27">
                  <c:v>40031</c:v>
                </c:pt>
                <c:pt idx="28">
                  <c:v>40032</c:v>
                </c:pt>
                <c:pt idx="29">
                  <c:v>40035</c:v>
                </c:pt>
                <c:pt idx="30">
                  <c:v>40036</c:v>
                </c:pt>
                <c:pt idx="31">
                  <c:v>40037</c:v>
                </c:pt>
                <c:pt idx="32">
                  <c:v>40038</c:v>
                </c:pt>
                <c:pt idx="33">
                  <c:v>40039</c:v>
                </c:pt>
                <c:pt idx="34">
                  <c:v>40042</c:v>
                </c:pt>
                <c:pt idx="35">
                  <c:v>40043</c:v>
                </c:pt>
                <c:pt idx="36">
                  <c:v>40044</c:v>
                </c:pt>
                <c:pt idx="37">
                  <c:v>40045</c:v>
                </c:pt>
                <c:pt idx="38">
                  <c:v>40046</c:v>
                </c:pt>
                <c:pt idx="39">
                  <c:v>40049</c:v>
                </c:pt>
                <c:pt idx="40">
                  <c:v>40050</c:v>
                </c:pt>
                <c:pt idx="41">
                  <c:v>40051</c:v>
                </c:pt>
                <c:pt idx="42">
                  <c:v>40052</c:v>
                </c:pt>
                <c:pt idx="43">
                  <c:v>40053</c:v>
                </c:pt>
              </c:numCache>
            </c:numRef>
          </c:cat>
          <c:val>
            <c:numRef>
              <c:f>'Backtest Stratégie 1'!$G$7:$G$49</c:f>
              <c:numCache>
                <c:formatCode>General</c:formatCode>
                <c:ptCount val="43"/>
                <c:pt idx="0">
                  <c:v>48.039999999999964</c:v>
                </c:pt>
                <c:pt idx="1">
                  <c:v>-32.039999999999964</c:v>
                </c:pt>
                <c:pt idx="2">
                  <c:v>-25.210000000000036</c:v>
                </c:pt>
                <c:pt idx="3">
                  <c:v>-57.809999999999945</c:v>
                </c:pt>
                <c:pt idx="4">
                  <c:v>-80.789999999999964</c:v>
                </c:pt>
                <c:pt idx="5">
                  <c:v>-110.36000000000013</c:v>
                </c:pt>
                <c:pt idx="6">
                  <c:v>-87.820000000000164</c:v>
                </c:pt>
                <c:pt idx="7">
                  <c:v>-120.22000000000025</c:v>
                </c:pt>
                <c:pt idx="8">
                  <c:v>-56.470000000000255</c:v>
                </c:pt>
                <c:pt idx="9">
                  <c:v>-30.980000000000018</c:v>
                </c:pt>
                <c:pt idx="10">
                  <c:v>49.329999999999927</c:v>
                </c:pt>
                <c:pt idx="11">
                  <c:v>57.279999999999745</c:v>
                </c:pt>
                <c:pt idx="12">
                  <c:v>67.509999999999764</c:v>
                </c:pt>
                <c:pt idx="13">
                  <c:v>99</c:v>
                </c:pt>
                <c:pt idx="14">
                  <c:v>118.29999999999973</c:v>
                </c:pt>
                <c:pt idx="15">
                  <c:v>127.15999999999985</c:v>
                </c:pt>
                <c:pt idx="16">
                  <c:v>184.09999999999991</c:v>
                </c:pt>
                <c:pt idx="17">
                  <c:v>181.07000000000016</c:v>
                </c:pt>
                <c:pt idx="18">
                  <c:v>199.7199999999998</c:v>
                </c:pt>
                <c:pt idx="19">
                  <c:v>171.38999999999987</c:v>
                </c:pt>
                <c:pt idx="20">
                  <c:v>198.61999999999989</c:v>
                </c:pt>
                <c:pt idx="21">
                  <c:v>253.04999999999973</c:v>
                </c:pt>
                <c:pt idx="22">
                  <c:v>236.44000000000005</c:v>
                </c:pt>
                <c:pt idx="23">
                  <c:v>272.38000000000011</c:v>
                </c:pt>
                <c:pt idx="24">
                  <c:v>269.27</c:v>
                </c:pt>
                <c:pt idx="25">
                  <c:v>241.44000000000005</c:v>
                </c:pt>
                <c:pt idx="26">
                  <c:v>260.32000000000016</c:v>
                </c:pt>
                <c:pt idx="27">
                  <c:v>304.52999999999975</c:v>
                </c:pt>
                <c:pt idx="28">
                  <c:v>291.92000000000007</c:v>
                </c:pt>
                <c:pt idx="29">
                  <c:v>249.25</c:v>
                </c:pt>
                <c:pt idx="30">
                  <c:v>286.52</c:v>
                </c:pt>
                <c:pt idx="31">
                  <c:v>304.04999999999973</c:v>
                </c:pt>
                <c:pt idx="32">
                  <c:v>267.7199999999998</c:v>
                </c:pt>
                <c:pt idx="33">
                  <c:v>202.09999999999991</c:v>
                </c:pt>
                <c:pt idx="34">
                  <c:v>228.90999999999985</c:v>
                </c:pt>
                <c:pt idx="35">
                  <c:v>221.19000000000005</c:v>
                </c:pt>
                <c:pt idx="36">
                  <c:v>261.98</c:v>
                </c:pt>
                <c:pt idx="37">
                  <c:v>343.92999999999984</c:v>
                </c:pt>
                <c:pt idx="38">
                  <c:v>376.65000000000009</c:v>
                </c:pt>
                <c:pt idx="39">
                  <c:v>399.44999999999982</c:v>
                </c:pt>
                <c:pt idx="40">
                  <c:v>387.21000000000004</c:v>
                </c:pt>
                <c:pt idx="41">
                  <c:v>375.92999999999984</c:v>
                </c:pt>
                <c:pt idx="42">
                  <c:v>401.96000000000004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0F-4BBF-8851-6A1A71C64B1F}"/>
            </c:ext>
          </c:extLst>
        </c:ser>
        <c:ser>
          <c:idx val="3"/>
          <c:order val="3"/>
          <c:tx>
            <c:v>P&amp;L Cumulé 2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'Backtest Stratégie 2'!$A$6:$A$49</c:f>
              <c:numCache>
                <c:formatCode>m/d/yyyy</c:formatCode>
                <c:ptCount val="44"/>
                <c:pt idx="0">
                  <c:v>39994</c:v>
                </c:pt>
                <c:pt idx="1">
                  <c:v>39995</c:v>
                </c:pt>
                <c:pt idx="2">
                  <c:v>39996</c:v>
                </c:pt>
                <c:pt idx="3">
                  <c:v>39997</c:v>
                </c:pt>
                <c:pt idx="4">
                  <c:v>40000</c:v>
                </c:pt>
                <c:pt idx="5">
                  <c:v>40001</c:v>
                </c:pt>
                <c:pt idx="6">
                  <c:v>40002</c:v>
                </c:pt>
                <c:pt idx="7">
                  <c:v>40003</c:v>
                </c:pt>
                <c:pt idx="8">
                  <c:v>40004</c:v>
                </c:pt>
                <c:pt idx="9">
                  <c:v>40007</c:v>
                </c:pt>
                <c:pt idx="10">
                  <c:v>40008</c:v>
                </c:pt>
                <c:pt idx="11">
                  <c:v>40009</c:v>
                </c:pt>
                <c:pt idx="12">
                  <c:v>40010</c:v>
                </c:pt>
                <c:pt idx="13">
                  <c:v>40011</c:v>
                </c:pt>
                <c:pt idx="14">
                  <c:v>40014</c:v>
                </c:pt>
                <c:pt idx="15">
                  <c:v>40015</c:v>
                </c:pt>
                <c:pt idx="16">
                  <c:v>40016</c:v>
                </c:pt>
                <c:pt idx="17">
                  <c:v>40017</c:v>
                </c:pt>
                <c:pt idx="18">
                  <c:v>40018</c:v>
                </c:pt>
                <c:pt idx="19">
                  <c:v>40021</c:v>
                </c:pt>
                <c:pt idx="20">
                  <c:v>40022</c:v>
                </c:pt>
                <c:pt idx="21">
                  <c:v>40023</c:v>
                </c:pt>
                <c:pt idx="22">
                  <c:v>40024</c:v>
                </c:pt>
                <c:pt idx="23">
                  <c:v>40025</c:v>
                </c:pt>
                <c:pt idx="24">
                  <c:v>40028</c:v>
                </c:pt>
                <c:pt idx="25">
                  <c:v>40029</c:v>
                </c:pt>
                <c:pt idx="26">
                  <c:v>40030</c:v>
                </c:pt>
                <c:pt idx="27">
                  <c:v>40031</c:v>
                </c:pt>
                <c:pt idx="28">
                  <c:v>40032</c:v>
                </c:pt>
                <c:pt idx="29">
                  <c:v>40035</c:v>
                </c:pt>
                <c:pt idx="30">
                  <c:v>40036</c:v>
                </c:pt>
                <c:pt idx="31">
                  <c:v>40037</c:v>
                </c:pt>
                <c:pt idx="32">
                  <c:v>40038</c:v>
                </c:pt>
                <c:pt idx="33">
                  <c:v>40039</c:v>
                </c:pt>
                <c:pt idx="34">
                  <c:v>40042</c:v>
                </c:pt>
                <c:pt idx="35">
                  <c:v>40043</c:v>
                </c:pt>
                <c:pt idx="36">
                  <c:v>40044</c:v>
                </c:pt>
                <c:pt idx="37">
                  <c:v>40045</c:v>
                </c:pt>
                <c:pt idx="38">
                  <c:v>40046</c:v>
                </c:pt>
                <c:pt idx="39">
                  <c:v>40049</c:v>
                </c:pt>
                <c:pt idx="40">
                  <c:v>40050</c:v>
                </c:pt>
                <c:pt idx="41">
                  <c:v>40051</c:v>
                </c:pt>
                <c:pt idx="42">
                  <c:v>40052</c:v>
                </c:pt>
                <c:pt idx="43">
                  <c:v>40053</c:v>
                </c:pt>
              </c:numCache>
            </c:numRef>
          </c:cat>
          <c:val>
            <c:numRef>
              <c:f>'Backtest Stratégie 2'!$Q$7:$Q$49</c:f>
              <c:numCache>
                <c:formatCode>_-* #\ ##0.00\ _€_-;\-* #\ ##0.00\ _€_-;_-* "-"??\ _€_-;_-@_-</c:formatCode>
                <c:ptCount val="43"/>
                <c:pt idx="0">
                  <c:v>43.540000000000418</c:v>
                </c:pt>
                <c:pt idx="1">
                  <c:v>-29.139999999999873</c:v>
                </c:pt>
                <c:pt idx="2">
                  <c:v>-21.709999999999582</c:v>
                </c:pt>
                <c:pt idx="3">
                  <c:v>-51.809999999999945</c:v>
                </c:pt>
                <c:pt idx="4">
                  <c:v>-71.289999999999509</c:v>
                </c:pt>
                <c:pt idx="5">
                  <c:v>-96.659999999999854</c:v>
                </c:pt>
                <c:pt idx="6">
                  <c:v>-78.920000000000073</c:v>
                </c:pt>
                <c:pt idx="7">
                  <c:v>-108.22000000000025</c:v>
                </c:pt>
                <c:pt idx="8">
                  <c:v>-52.769999999999982</c:v>
                </c:pt>
                <c:pt idx="9">
                  <c:v>-31.079999999999927</c:v>
                </c:pt>
                <c:pt idx="10">
                  <c:v>41.429999999999836</c:v>
                </c:pt>
                <c:pt idx="11">
                  <c:v>48.479999999999563</c:v>
                </c:pt>
                <c:pt idx="12">
                  <c:v>57.109999999999673</c:v>
                </c:pt>
                <c:pt idx="13">
                  <c:v>86.700000000000273</c:v>
                </c:pt>
                <c:pt idx="14">
                  <c:v>104.99999999999955</c:v>
                </c:pt>
                <c:pt idx="15">
                  <c:v>113.55999999999995</c:v>
                </c:pt>
                <c:pt idx="16">
                  <c:v>167.5</c:v>
                </c:pt>
                <c:pt idx="17">
                  <c:v>164.77000000000044</c:v>
                </c:pt>
                <c:pt idx="18">
                  <c:v>182.81999999999971</c:v>
                </c:pt>
                <c:pt idx="19">
                  <c:v>155.19000000000005</c:v>
                </c:pt>
                <c:pt idx="20">
                  <c:v>181.51999999999998</c:v>
                </c:pt>
                <c:pt idx="21">
                  <c:v>234.44999999999982</c:v>
                </c:pt>
                <c:pt idx="22">
                  <c:v>218.54000000000042</c:v>
                </c:pt>
                <c:pt idx="23">
                  <c:v>253.68000000000029</c:v>
                </c:pt>
                <c:pt idx="24">
                  <c:v>250.56999999999971</c:v>
                </c:pt>
                <c:pt idx="25">
                  <c:v>222.64000000000033</c:v>
                </c:pt>
                <c:pt idx="26">
                  <c:v>240.82000000000016</c:v>
                </c:pt>
                <c:pt idx="27">
                  <c:v>284.23</c:v>
                </c:pt>
                <c:pt idx="28">
                  <c:v>271.92000000000007</c:v>
                </c:pt>
                <c:pt idx="29">
                  <c:v>229.84999999999991</c:v>
                </c:pt>
                <c:pt idx="30">
                  <c:v>266.52</c:v>
                </c:pt>
                <c:pt idx="31">
                  <c:v>283.75</c:v>
                </c:pt>
                <c:pt idx="32">
                  <c:v>248.01999999999998</c:v>
                </c:pt>
                <c:pt idx="33">
                  <c:v>184.10000000000036</c:v>
                </c:pt>
                <c:pt idx="34">
                  <c:v>209.61000000000013</c:v>
                </c:pt>
                <c:pt idx="35">
                  <c:v>202.59000000000015</c:v>
                </c:pt>
                <c:pt idx="36">
                  <c:v>241.88000000000011</c:v>
                </c:pt>
                <c:pt idx="37">
                  <c:v>322.63000000000011</c:v>
                </c:pt>
                <c:pt idx="38">
                  <c:v>355.45000000000027</c:v>
                </c:pt>
                <c:pt idx="39">
                  <c:v>378.14999999999964</c:v>
                </c:pt>
                <c:pt idx="40">
                  <c:v>365.90999999999985</c:v>
                </c:pt>
                <c:pt idx="41">
                  <c:v>354.42999999999984</c:v>
                </c:pt>
                <c:pt idx="42">
                  <c:v>380.36000000000013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0F-4BBF-8851-6A1A71C64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7148015"/>
        <c:axId val="1497141295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'Backtest Stratégie 1'!$P$5</c15:sqref>
                        </c15:formulaRef>
                      </c:ext>
                    </c:extLst>
                    <c:strCache>
                      <c:ptCount val="1"/>
                      <c:pt idx="0">
                        <c:v>P&amp;L Cumulé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'Backtest Stratégie 2'!$A$6:$A$49</c15:sqref>
                        </c15:formulaRef>
                      </c:ext>
                    </c:extLst>
                    <c:numCache>
                      <c:formatCode>m/d/yyyy</c:formatCode>
                      <c:ptCount val="44"/>
                      <c:pt idx="0">
                        <c:v>39994</c:v>
                      </c:pt>
                      <c:pt idx="1">
                        <c:v>39995</c:v>
                      </c:pt>
                      <c:pt idx="2">
                        <c:v>39996</c:v>
                      </c:pt>
                      <c:pt idx="3">
                        <c:v>39997</c:v>
                      </c:pt>
                      <c:pt idx="4">
                        <c:v>40000</c:v>
                      </c:pt>
                      <c:pt idx="5">
                        <c:v>40001</c:v>
                      </c:pt>
                      <c:pt idx="6">
                        <c:v>40002</c:v>
                      </c:pt>
                      <c:pt idx="7">
                        <c:v>40003</c:v>
                      </c:pt>
                      <c:pt idx="8">
                        <c:v>40004</c:v>
                      </c:pt>
                      <c:pt idx="9">
                        <c:v>40007</c:v>
                      </c:pt>
                      <c:pt idx="10">
                        <c:v>40008</c:v>
                      </c:pt>
                      <c:pt idx="11">
                        <c:v>40009</c:v>
                      </c:pt>
                      <c:pt idx="12">
                        <c:v>40010</c:v>
                      </c:pt>
                      <c:pt idx="13">
                        <c:v>40011</c:v>
                      </c:pt>
                      <c:pt idx="14">
                        <c:v>40014</c:v>
                      </c:pt>
                      <c:pt idx="15">
                        <c:v>40015</c:v>
                      </c:pt>
                      <c:pt idx="16">
                        <c:v>40016</c:v>
                      </c:pt>
                      <c:pt idx="17">
                        <c:v>40017</c:v>
                      </c:pt>
                      <c:pt idx="18">
                        <c:v>40018</c:v>
                      </c:pt>
                      <c:pt idx="19">
                        <c:v>40021</c:v>
                      </c:pt>
                      <c:pt idx="20">
                        <c:v>40022</c:v>
                      </c:pt>
                      <c:pt idx="21">
                        <c:v>40023</c:v>
                      </c:pt>
                      <c:pt idx="22">
                        <c:v>40024</c:v>
                      </c:pt>
                      <c:pt idx="23">
                        <c:v>40025</c:v>
                      </c:pt>
                      <c:pt idx="24">
                        <c:v>40028</c:v>
                      </c:pt>
                      <c:pt idx="25">
                        <c:v>40029</c:v>
                      </c:pt>
                      <c:pt idx="26">
                        <c:v>40030</c:v>
                      </c:pt>
                      <c:pt idx="27">
                        <c:v>40031</c:v>
                      </c:pt>
                      <c:pt idx="28">
                        <c:v>40032</c:v>
                      </c:pt>
                      <c:pt idx="29">
                        <c:v>40035</c:v>
                      </c:pt>
                      <c:pt idx="30">
                        <c:v>40036</c:v>
                      </c:pt>
                      <c:pt idx="31">
                        <c:v>40037</c:v>
                      </c:pt>
                      <c:pt idx="32">
                        <c:v>40038</c:v>
                      </c:pt>
                      <c:pt idx="33">
                        <c:v>40039</c:v>
                      </c:pt>
                      <c:pt idx="34">
                        <c:v>40042</c:v>
                      </c:pt>
                      <c:pt idx="35">
                        <c:v>40043</c:v>
                      </c:pt>
                      <c:pt idx="36">
                        <c:v>40044</c:v>
                      </c:pt>
                      <c:pt idx="37">
                        <c:v>40045</c:v>
                      </c:pt>
                      <c:pt idx="38">
                        <c:v>40046</c:v>
                      </c:pt>
                      <c:pt idx="39">
                        <c:v>40049</c:v>
                      </c:pt>
                      <c:pt idx="40">
                        <c:v>40050</c:v>
                      </c:pt>
                      <c:pt idx="41">
                        <c:v>40051</c:v>
                      </c:pt>
                      <c:pt idx="42">
                        <c:v>40052</c:v>
                      </c:pt>
                      <c:pt idx="43">
                        <c:v>40053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'Backtest Stratégie 1'!$P$6:$P$49</c15:sqref>
                        </c15:formulaRef>
                      </c:ext>
                    </c:extLst>
                    <c:numCache>
                      <c:formatCode>_-* #\ ##0.00\ _€_-;\-* #\ ##0.00\ _€_-;_-* "-"??\ _€_-;_-@_-</c:formatCode>
                      <c:ptCount val="44"/>
                      <c:pt idx="1">
                        <c:v>39.340000000000146</c:v>
                      </c:pt>
                      <c:pt idx="2">
                        <c:v>-26.039999999999964</c:v>
                      </c:pt>
                      <c:pt idx="3">
                        <c:v>-18.909999999999854</c:v>
                      </c:pt>
                      <c:pt idx="4">
                        <c:v>-46.309999999999945</c:v>
                      </c:pt>
                      <c:pt idx="5">
                        <c:v>-63.489999999999782</c:v>
                      </c:pt>
                      <c:pt idx="6">
                        <c:v>-85.460000000000036</c:v>
                      </c:pt>
                      <c:pt idx="7">
                        <c:v>-73.320000000000164</c:v>
                      </c:pt>
                      <c:pt idx="8">
                        <c:v>-100.12000000000035</c:v>
                      </c:pt>
                      <c:pt idx="9">
                        <c:v>-52.970000000000255</c:v>
                      </c:pt>
                      <c:pt idx="10">
                        <c:v>-34.880000000000109</c:v>
                      </c:pt>
                      <c:pt idx="11">
                        <c:v>32.029999999999745</c:v>
                      </c:pt>
                      <c:pt idx="12">
                        <c:v>38.479999999999563</c:v>
                      </c:pt>
                      <c:pt idx="13">
                        <c:v>46.009999999999764</c:v>
                      </c:pt>
                      <c:pt idx="14">
                        <c:v>74.5</c:v>
                      </c:pt>
                      <c:pt idx="15">
                        <c:v>91.899999999999636</c:v>
                      </c:pt>
                      <c:pt idx="16">
                        <c:v>100.15999999999985</c:v>
                      </c:pt>
                      <c:pt idx="17">
                        <c:v>152.40000000000009</c:v>
                      </c:pt>
                      <c:pt idx="18">
                        <c:v>149.97000000000025</c:v>
                      </c:pt>
                      <c:pt idx="19">
                        <c:v>167.7199999999998</c:v>
                      </c:pt>
                      <c:pt idx="20">
                        <c:v>140.38999999999987</c:v>
                      </c:pt>
                      <c:pt idx="21">
                        <c:v>166.2199999999998</c:v>
                      </c:pt>
                      <c:pt idx="22">
                        <c:v>218.34999999999991</c:v>
                      </c:pt>
                      <c:pt idx="23">
                        <c:v>202.84000000000015</c:v>
                      </c:pt>
                      <c:pt idx="24">
                        <c:v>237.48000000000002</c:v>
                      </c:pt>
                      <c:pt idx="25">
                        <c:v>233.9699999999998</c:v>
                      </c:pt>
                      <c:pt idx="26">
                        <c:v>205.94000000000005</c:v>
                      </c:pt>
                      <c:pt idx="27">
                        <c:v>223.72000000000025</c:v>
                      </c:pt>
                      <c:pt idx="28">
                        <c:v>266.92999999999984</c:v>
                      </c:pt>
                      <c:pt idx="29">
                        <c:v>254.32000000000016</c:v>
                      </c:pt>
                      <c:pt idx="30">
                        <c:v>212.75</c:v>
                      </c:pt>
                      <c:pt idx="31">
                        <c:v>249.11999999999989</c:v>
                      </c:pt>
                      <c:pt idx="32">
                        <c:v>266.04999999999973</c:v>
                      </c:pt>
                      <c:pt idx="33">
                        <c:v>230.51999999999998</c:v>
                      </c:pt>
                      <c:pt idx="34">
                        <c:v>167.90000000000009</c:v>
                      </c:pt>
                      <c:pt idx="35">
                        <c:v>192.90999999999985</c:v>
                      </c:pt>
                      <c:pt idx="36">
                        <c:v>185.69000000000005</c:v>
                      </c:pt>
                      <c:pt idx="37">
                        <c:v>224.38000000000011</c:v>
                      </c:pt>
                      <c:pt idx="38">
                        <c:v>304.82999999999993</c:v>
                      </c:pt>
                      <c:pt idx="39">
                        <c:v>337.45000000000027</c:v>
                      </c:pt>
                      <c:pt idx="40">
                        <c:v>360.04999999999973</c:v>
                      </c:pt>
                      <c:pt idx="41">
                        <c:v>347.80999999999995</c:v>
                      </c:pt>
                      <c:pt idx="42">
                        <c:v>336.32999999999993</c:v>
                      </c:pt>
                      <c:pt idx="43">
                        <c:v>361.96000000000004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930F-4BBF-8851-6A1A71C64B1F}"/>
                  </c:ext>
                </c:extLst>
              </c15:ser>
            </c15:filteredLineSeries>
          </c:ext>
        </c:extLst>
      </c:lineChart>
      <c:dateAx>
        <c:axId val="1014872399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4897839"/>
        <c:crosses val="autoZero"/>
        <c:auto val="1"/>
        <c:lblOffset val="100"/>
        <c:baseTimeUnit val="days"/>
      </c:dateAx>
      <c:valAx>
        <c:axId val="101489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Indice</a:t>
                </a:r>
                <a:r>
                  <a:rPr lang="fr-FR" baseline="0"/>
                  <a:t> (Points)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4872399"/>
        <c:crosses val="autoZero"/>
        <c:crossBetween val="between"/>
      </c:valAx>
      <c:valAx>
        <c:axId val="149714129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P&amp;L</a:t>
                </a:r>
                <a:r>
                  <a:rPr lang="fr-FR" baseline="0"/>
                  <a:t> en euros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97148015"/>
        <c:crosses val="max"/>
        <c:crossBetween val="between"/>
      </c:valAx>
      <c:dateAx>
        <c:axId val="149714801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497141295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32775</xdr:colOff>
      <xdr:row>5</xdr:row>
      <xdr:rowOff>32774</xdr:rowOff>
    </xdr:from>
    <xdr:to>
      <xdr:col>23</xdr:col>
      <xdr:colOff>739641</xdr:colOff>
      <xdr:row>11</xdr:row>
      <xdr:rowOff>102760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4670813B-7D97-418F-8026-5FBBB5E76030}"/>
            </a:ext>
          </a:extLst>
        </xdr:cNvPr>
        <xdr:cNvSpPr txBox="1"/>
      </xdr:nvSpPr>
      <xdr:spPr>
        <a:xfrm>
          <a:off x="14379678" y="1212645"/>
          <a:ext cx="4049834" cy="124985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/>
            <a:t>La position sur l’indice contribue uniquement au delta de la stratégie ; les autres sensibilités sont nulles.</a:t>
          </a:r>
          <a:r>
            <a:rPr lang="fr-FR" sz="1100"/>
            <a:t>Un indice boursier a:</a:t>
          </a:r>
        </a:p>
        <a:p>
          <a:r>
            <a:rPr lang="fr-FR" sz="1100"/>
            <a:t>- Delt</a:t>
          </a:r>
          <a:r>
            <a:rPr lang="fr-FR" sz="1100" baseline="0"/>
            <a:t>a = 1</a:t>
          </a:r>
        </a:p>
        <a:p>
          <a:r>
            <a:rPr lang="fr-FR" sz="1100" baseline="0"/>
            <a:t>- Gamma = 0</a:t>
          </a:r>
        </a:p>
        <a:p>
          <a:r>
            <a:rPr lang="fr-FR" sz="1100" baseline="0"/>
            <a:t>- Thêta = 0</a:t>
          </a:r>
        </a:p>
        <a:p>
          <a:r>
            <a:rPr lang="fr-FR" sz="1100" baseline="0"/>
            <a:t>- Vega = 0</a:t>
          </a:r>
          <a:endParaRPr lang="fr-FR" sz="1100"/>
        </a:p>
      </xdr:txBody>
    </xdr:sp>
    <xdr:clientData/>
  </xdr:twoCellAnchor>
  <xdr:twoCellAnchor>
    <xdr:from>
      <xdr:col>8</xdr:col>
      <xdr:colOff>0</xdr:colOff>
      <xdr:row>15</xdr:row>
      <xdr:rowOff>15678</xdr:rowOff>
    </xdr:from>
    <xdr:to>
      <xdr:col>11</xdr:col>
      <xdr:colOff>1111624</xdr:colOff>
      <xdr:row>20</xdr:row>
      <xdr:rowOff>195417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C77D073E-96C6-4780-82EA-D7EA3AD54B06}"/>
            </a:ext>
          </a:extLst>
        </xdr:cNvPr>
        <xdr:cNvSpPr txBox="1"/>
      </xdr:nvSpPr>
      <xdr:spPr>
        <a:xfrm>
          <a:off x="6977160" y="3323950"/>
          <a:ext cx="4200390" cy="12772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/>
            <a:t>Le P&amp;L de la stratégie sur une journée est approché par un développement de Taylor d’ordre 2 : en utilisant les Greeks:</a:t>
          </a:r>
        </a:p>
        <a:p>
          <a:endParaRPr lang="fr-FR" sz="1100"/>
        </a:p>
      </xdr:txBody>
    </xdr:sp>
    <xdr:clientData/>
  </xdr:twoCellAnchor>
  <xdr:twoCellAnchor editAs="oneCell">
    <xdr:from>
      <xdr:col>9</xdr:col>
      <xdr:colOff>105653</xdr:colOff>
      <xdr:row>17</xdr:row>
      <xdr:rowOff>135181</xdr:rowOff>
    </xdr:from>
    <xdr:to>
      <xdr:col>11</xdr:col>
      <xdr:colOff>939377</xdr:colOff>
      <xdr:row>19</xdr:row>
      <xdr:rowOff>136339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815347B5-0AF6-4ADC-808D-80AF10E56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61747" y="3685205"/>
          <a:ext cx="3092830" cy="395605"/>
        </a:xfrm>
        <a:prstGeom prst="rect">
          <a:avLst/>
        </a:prstGeom>
      </xdr:spPr>
    </xdr:pic>
    <xdr:clientData/>
  </xdr:twoCellAnchor>
  <xdr:twoCellAnchor>
    <xdr:from>
      <xdr:col>8</xdr:col>
      <xdr:colOff>376297</xdr:colOff>
      <xdr:row>24</xdr:row>
      <xdr:rowOff>94074</xdr:rowOff>
    </xdr:from>
    <xdr:to>
      <xdr:col>11</xdr:col>
      <xdr:colOff>1093695</xdr:colOff>
      <xdr:row>35</xdr:row>
      <xdr:rowOff>62976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97699C2C-B8ED-4EE6-B426-9E8E8E5FDED0}"/>
                </a:ext>
              </a:extLst>
            </xdr:cNvPr>
            <xdr:cNvSpPr txBox="1"/>
          </xdr:nvSpPr>
          <xdr:spPr>
            <a:xfrm>
              <a:off x="7353457" y="5377901"/>
              <a:ext cx="3806164" cy="238347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1100"/>
                <a:t>Revalorisant des</a:t>
              </a:r>
              <a:r>
                <a:rPr lang="fr-FR" sz="1100" baseline="0"/>
                <a:t> options via formules de Black &amp; Scholes: </a:t>
              </a:r>
            </a:p>
            <a:p>
              <a:r>
                <a:rPr lang="fr-FR" b="1"/>
                <a:t>Calculer le P&amp;L “full reprice” de la stratégie (sur 1 jour)</a:t>
              </a:r>
            </a:p>
            <a:p>
              <a:r>
                <a:rPr lang="fr-FR"/>
                <a:t>La stratégie = +1 indice +1 put2100 </a:t>
              </a:r>
            </a:p>
            <a:p>
              <a:r>
                <a:rPr lang="fr-FR"/>
                <a:t>Donc :</a:t>
              </a:r>
            </a:p>
            <a:p>
              <a:r>
                <a:rPr lang="fr-FR" b="1"/>
                <a:t>4.1 P&amp;L sur l’indice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l-GR" sz="1100">
                        <a:solidFill>
                          <a:schemeClr val="dk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Δ</m:t>
                    </m:r>
                    <m:r>
                      <a:rPr lang="el-GR" sz="1100" i="1">
                        <a:solidFill>
                          <a:schemeClr val="dk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𝑆</m:t>
                    </m:r>
                    <m:r>
                      <a:rPr lang="el-GR" sz="1100" i="0">
                        <a:solidFill>
                          <a:schemeClr val="dk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ar-AE" sz="1100" i="1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ar-AE" sz="1100" i="1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e>
                      <m:sup>
                        <m:r>
                          <a:rPr lang="ar-AE" sz="1100" i="1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𝑠𝑐</m:t>
                        </m:r>
                      </m:sup>
                    </m:sSup>
                    <m:r>
                      <a:rPr lang="ar-AE" sz="1100" i="0">
                        <a:solidFill>
                          <a:schemeClr val="dk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ar-AE" sz="1100" i="1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ar-AE" sz="1100" i="1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e>
                      <m:sub>
                        <m:r>
                          <a:rPr lang="ar-AE" sz="1100" i="0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ar-AE"/>
            </a:p>
            <a:p>
              <a:r>
                <a:rPr lang="ar-AE" b="1"/>
                <a:t>4.2 </a:t>
              </a:r>
              <a:r>
                <a:rPr lang="fr-FR" b="1"/>
                <a:t>P&amp;L sur l'option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l-GR" sz="1100">
                        <a:solidFill>
                          <a:schemeClr val="dk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Δ</m:t>
                    </m:r>
                    <m:sSub>
                      <m:sSubPr>
                        <m:ctrlPr>
                          <a:rPr lang="ar-AE" sz="1100" i="1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ar-AE" sz="1100" i="1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e>
                      <m:sub>
                        <m:r>
                          <a:rPr lang="ar-AE" sz="1100" i="0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2100</m:t>
                        </m:r>
                      </m:sub>
                    </m:sSub>
                    <m:r>
                      <a:rPr lang="ar-AE" sz="1100" i="0">
                        <a:solidFill>
                          <a:schemeClr val="dk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ar-AE" sz="1100" i="1">
                        <a:solidFill>
                          <a:schemeClr val="dk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𝑃</m:t>
                    </m:r>
                    <m:sSub>
                      <m:sSubPr>
                        <m:ctrlPr>
                          <a:rPr lang="ar-AE" sz="1100" i="1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ar-AE" sz="1100" i="0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e>
                      <m:sub>
                        <m:r>
                          <a:rPr lang="ar-AE" sz="1100" i="0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2100</m:t>
                        </m:r>
                      </m:sub>
                    </m:sSub>
                    <m:r>
                      <a:rPr lang="ar-AE" sz="1100" i="0">
                        <a:solidFill>
                          <a:schemeClr val="dk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a:rPr lang="ar-AE" sz="1100" i="1">
                        <a:solidFill>
                          <a:schemeClr val="dk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𝑃</m:t>
                    </m:r>
                    <m:sSub>
                      <m:sSubPr>
                        <m:ctrlPr>
                          <a:rPr lang="ar-AE" sz="1100" i="1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ar-AE" sz="1100" i="0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e>
                      <m:sub>
                        <m:r>
                          <a:rPr lang="ar-AE" sz="1100" i="0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2100</m:t>
                        </m:r>
                      </m:sub>
                    </m:sSub>
                  </m:oMath>
                </m:oMathPara>
              </a14:m>
              <a:endParaRPr lang="ar-AE"/>
            </a:p>
            <a:p>
              <a:endParaRPr lang="fr-FR" b="1"/>
            </a:p>
            <a:p>
              <a:r>
                <a:rPr lang="ar-AE" b="1"/>
                <a:t>4.3 </a:t>
              </a:r>
              <a:r>
                <a:rPr lang="fr-FR" b="1"/>
                <a:t>P&amp;L total stratégie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borderBox>
                      <m:borderBoxPr>
                        <m:ctrlPr>
                          <a:rPr lang="ar-AE" sz="1100" i="1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borderBoxPr>
                      <m:e>
                        <m:r>
                          <a:rPr lang="ar-AE" sz="1100" i="1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  <m:r>
                          <m:rPr>
                            <m:lit/>
                          </m:rPr>
                          <a:rPr lang="ar-AE" sz="1100" i="0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&amp;</m:t>
                        </m:r>
                        <m:sSup>
                          <m:sSupPr>
                            <m:ctrlPr>
                              <a:rPr lang="ar-AE" sz="1100" i="1">
                                <a:solidFill>
                                  <a:schemeClr val="dk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ar-AE" sz="1100" i="1">
                                <a:solidFill>
                                  <a:schemeClr val="dk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𝐿</m:t>
                            </m:r>
                          </m:e>
                          <m:sup>
                            <m:r>
                              <a:rPr lang="ar-AE" sz="1100" i="1">
                                <a:solidFill>
                                  <a:schemeClr val="dk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𝐵𝑆</m:t>
                            </m:r>
                          </m:sup>
                        </m:sSup>
                        <m:r>
                          <a:rPr lang="ar-AE" sz="1100" i="0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</m:t>
                        </m:r>
                        <m:d>
                          <m:dPr>
                            <m:ctrlPr>
                              <a:rPr lang="ar-AE" sz="1100" i="1">
                                <a:solidFill>
                                  <a:schemeClr val="dk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ar-AE" sz="1100" i="1">
                                    <a:solidFill>
                                      <a:schemeClr val="dk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ar-AE" sz="1100" i="1">
                                    <a:solidFill>
                                      <a:schemeClr val="dk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e>
                              <m:sup>
                                <m:r>
                                  <a:rPr lang="ar-AE" sz="1100" i="1">
                                    <a:solidFill>
                                      <a:schemeClr val="dk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𝑠𝑐</m:t>
                                </m:r>
                              </m:sup>
                            </m:sSup>
                            <m:r>
                              <a:rPr lang="ar-AE" sz="1100" i="0">
                                <a:solidFill>
                                  <a:schemeClr val="dk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ar-AE" sz="1100" i="1">
                                    <a:solidFill>
                                      <a:schemeClr val="dk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ar-AE" sz="1100" i="1">
                                    <a:solidFill>
                                      <a:schemeClr val="dk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ar-AE" sz="1100" i="0">
                                    <a:solidFill>
                                      <a:schemeClr val="dk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</m:e>
                        </m:d>
                        <m:r>
                          <a:rPr lang="ar-AE" sz="1100" i="0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d>
                          <m:dPr>
                            <m:ctrlPr>
                              <a:rPr lang="ar-AE" sz="1100" i="1">
                                <a:solidFill>
                                  <a:schemeClr val="dk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ar-AE" sz="1100" i="1">
                                <a:solidFill>
                                  <a:schemeClr val="dk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</m:t>
                            </m:r>
                            <m:sSub>
                              <m:sSubPr>
                                <m:ctrlPr>
                                  <a:rPr lang="ar-AE" sz="1100" i="1">
                                    <a:solidFill>
                                      <a:schemeClr val="dk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ar-AE" sz="1100" i="0">
                                    <a:solidFill>
                                      <a:schemeClr val="dk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e>
                              <m:sub>
                                <m:r>
                                  <a:rPr lang="ar-AE" sz="1100" i="0">
                                    <a:solidFill>
                                      <a:schemeClr val="dk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2100</m:t>
                                </m:r>
                              </m:sub>
                            </m:sSub>
                            <m:r>
                              <a:rPr lang="ar-AE" sz="1100" i="0">
                                <a:solidFill>
                                  <a:schemeClr val="dk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ar-AE" sz="1100" i="1">
                                <a:solidFill>
                                  <a:schemeClr val="dk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</m:t>
                            </m:r>
                            <m:sSub>
                              <m:sSubPr>
                                <m:ctrlPr>
                                  <a:rPr lang="ar-AE" sz="1100" i="1">
                                    <a:solidFill>
                                      <a:schemeClr val="dk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ar-AE" sz="1100" i="0">
                                    <a:solidFill>
                                      <a:schemeClr val="dk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e>
                              <m:sub>
                                <m:r>
                                  <a:rPr lang="ar-AE" sz="1100" i="0">
                                    <a:solidFill>
                                      <a:schemeClr val="dk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2100</m:t>
                                </m:r>
                              </m:sub>
                            </m:sSub>
                          </m:e>
                        </m:d>
                      </m:e>
                    </m:borderBox>
                  </m:oMath>
                </m:oMathPara>
              </a14:m>
              <a:endParaRPr lang="ar-AE"/>
            </a:p>
            <a:p>
              <a:endParaRPr lang="fr-FR" sz="1100"/>
            </a:p>
          </xdr:txBody>
        </xdr:sp>
      </mc:Choice>
      <mc:Fallback xmlns="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97699C2C-B8ED-4EE6-B426-9E8E8E5FDED0}"/>
                </a:ext>
              </a:extLst>
            </xdr:cNvPr>
            <xdr:cNvSpPr txBox="1"/>
          </xdr:nvSpPr>
          <xdr:spPr>
            <a:xfrm>
              <a:off x="7353457" y="5377901"/>
              <a:ext cx="3806164" cy="238347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1100"/>
                <a:t>Revalorisant des</a:t>
              </a:r>
              <a:r>
                <a:rPr lang="fr-FR" sz="1100" baseline="0"/>
                <a:t> options via formules de Black &amp; Scholes: </a:t>
              </a:r>
            </a:p>
            <a:p>
              <a:r>
                <a:rPr lang="fr-FR" b="1"/>
                <a:t>Calculer le P&amp;L “full reprice” de la stratégie (sur 1 jour)</a:t>
              </a:r>
            </a:p>
            <a:p>
              <a:r>
                <a:rPr lang="fr-FR"/>
                <a:t>La stratégie = +1 indice +1 put2100 </a:t>
              </a:r>
            </a:p>
            <a:p>
              <a:r>
                <a:rPr lang="fr-FR"/>
                <a:t>Donc :</a:t>
              </a:r>
            </a:p>
            <a:p>
              <a:r>
                <a:rPr lang="fr-FR" b="1"/>
                <a:t>4.1 P&amp;L sur l’indice</a:t>
              </a:r>
            </a:p>
            <a:p>
              <a:pPr/>
              <a:r>
                <a:rPr lang="el-GR" sz="1100" i="0">
                  <a:solidFill>
                    <a:schemeClr val="dk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Δ𝑆=</a:t>
              </a:r>
              <a:r>
                <a:rPr lang="ar-AE" sz="1100" i="0">
                  <a:solidFill>
                    <a:schemeClr val="dk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𝑆^𝑠𝑐−𝑆_0</a:t>
              </a:r>
              <a:endParaRPr lang="ar-AE"/>
            </a:p>
            <a:p>
              <a:r>
                <a:rPr lang="ar-AE" b="1"/>
                <a:t>4.2 </a:t>
              </a:r>
              <a:r>
                <a:rPr lang="fr-FR" b="1"/>
                <a:t>P&amp;L sur l'option</a:t>
              </a:r>
            </a:p>
            <a:p>
              <a:pPr/>
              <a:r>
                <a:rPr lang="el-GR" sz="1100" i="0">
                  <a:solidFill>
                    <a:schemeClr val="dk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Δ</a:t>
              </a:r>
              <a:r>
                <a:rPr lang="ar-AE" sz="1100" i="0">
                  <a:solidFill>
                    <a:schemeClr val="dk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𝑃_2100=𝑃1_2100−𝑃0_2100</a:t>
              </a:r>
              <a:endParaRPr lang="ar-AE"/>
            </a:p>
            <a:p>
              <a:endParaRPr lang="fr-FR" b="1"/>
            </a:p>
            <a:p>
              <a:r>
                <a:rPr lang="ar-AE" b="1"/>
                <a:t>4.3 </a:t>
              </a:r>
              <a:r>
                <a:rPr lang="fr-FR" b="1"/>
                <a:t>P&amp;L total stratégie</a:t>
              </a:r>
            </a:p>
            <a:p>
              <a:pPr/>
              <a:r>
                <a:rPr lang="ar-AE" sz="1100" i="0">
                  <a:solidFill>
                    <a:schemeClr val="dk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▭(𝑃\&amp;𝐿^𝐵𝑆=(𝑆^𝑠𝑐−𝑆_0 )+(𝑃1_2100−𝑃0_2100 ) )</a:t>
              </a:r>
              <a:endParaRPr lang="ar-AE"/>
            </a:p>
            <a:p>
              <a:endParaRPr lang="fr-FR" sz="1100"/>
            </a:p>
          </xdr:txBody>
        </xdr:sp>
      </mc:Fallback>
    </mc:AlternateContent>
    <xdr:clientData/>
  </xdr:twoCellAnchor>
  <xdr:twoCellAnchor>
    <xdr:from>
      <xdr:col>21</xdr:col>
      <xdr:colOff>681317</xdr:colOff>
      <xdr:row>13</xdr:row>
      <xdr:rowOff>89647</xdr:rowOff>
    </xdr:from>
    <xdr:to>
      <xdr:col>33</xdr:col>
      <xdr:colOff>188258</xdr:colOff>
      <xdr:row>22</xdr:row>
      <xdr:rowOff>142875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3C1CE8B7-6065-8EDB-9F98-E9121C343AF7}"/>
            </a:ext>
          </a:extLst>
        </xdr:cNvPr>
        <xdr:cNvSpPr txBox="1"/>
      </xdr:nvSpPr>
      <xdr:spPr>
        <a:xfrm>
          <a:off x="21064817" y="2889997"/>
          <a:ext cx="9565341" cy="183440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/>
            <a:t>La stratégie étudiée consiste à acheter simultanément une unité de l’indice actions et un put hors-la-monnaie (strike 2100, soit environ 90 % du niveau initial de l’indice).</a:t>
          </a:r>
        </a:p>
        <a:p>
          <a:r>
            <a:rPr lang="fr-FR"/>
            <a:t>La stratégie présente : </a:t>
          </a:r>
        </a:p>
        <a:p>
          <a:r>
            <a:rPr lang="fr-FR"/>
            <a:t>-</a:t>
          </a:r>
          <a:r>
            <a:rPr lang="fr-FR" baseline="0"/>
            <a:t> </a:t>
          </a:r>
          <a:r>
            <a:rPr lang="fr-FR"/>
            <a:t>un </a:t>
          </a:r>
          <a:r>
            <a:rPr lang="fr-FR" b="1"/>
            <a:t>delta d’environ 0,82</a:t>
          </a:r>
          <a:r>
            <a:rPr lang="fr-FR"/>
            <a:t> : la valeur de la stratégie augmente lorsque l’indice monte, mais qu’elle diminue lorsque l’indice baisse, même si la présence du put atténue partiellement les pertes en cas de baisse. </a:t>
          </a:r>
        </a:p>
        <a:p>
          <a:r>
            <a:rPr lang="fr-FR"/>
            <a:t>-</a:t>
          </a:r>
          <a:r>
            <a:rPr lang="fr-FR" baseline="0"/>
            <a:t> </a:t>
          </a:r>
          <a:r>
            <a:rPr lang="fr-FR"/>
            <a:t>une </a:t>
          </a:r>
          <a:r>
            <a:rPr lang="fr-FR" b="1"/>
            <a:t>convexité positive</a:t>
          </a:r>
          <a:r>
            <a:rPr lang="fr-FR"/>
            <a:t> (gamma positif) : les mouvements importants de l’indice, à la hausse comme à la baisse, améliorent légèrement le P&amp;L par rapport à une position purement linéaire sur l’indice. </a:t>
          </a:r>
        </a:p>
        <a:p>
          <a:r>
            <a:rPr lang="fr-FR"/>
            <a:t>-Un</a:t>
          </a:r>
          <a:r>
            <a:rPr lang="fr-FR" baseline="0"/>
            <a:t> </a:t>
          </a:r>
          <a:r>
            <a:rPr lang="fr-FR" b="1" baseline="0"/>
            <a:t>v</a:t>
          </a:r>
          <a:r>
            <a:rPr lang="fr-FR" b="1"/>
            <a:t>ega positif: </a:t>
          </a:r>
          <a:r>
            <a:rPr lang="fr-FR" b="0"/>
            <a:t>la stratégie </a:t>
          </a:r>
          <a:r>
            <a:rPr lang="fr-FR"/>
            <a:t>est </a:t>
          </a:r>
          <a:r>
            <a:rPr lang="fr-FR" b="1"/>
            <a:t>longue volatilité</a:t>
          </a:r>
          <a:r>
            <a:rPr lang="fr-FR"/>
            <a:t>: une hausse de la volatilité implicite accroît la valeur du put et donc celle de la stratégie, ce qui est favorable en période de stress de marché. </a:t>
          </a:r>
        </a:p>
        <a:p>
          <a:r>
            <a:rPr lang="fr-FR"/>
            <a:t>-</a:t>
          </a:r>
          <a:r>
            <a:rPr lang="fr-FR" baseline="0"/>
            <a:t> </a:t>
          </a:r>
          <a:r>
            <a:rPr lang="fr-FR"/>
            <a:t>un </a:t>
          </a:r>
          <a:r>
            <a:rPr lang="fr-FR" b="1"/>
            <a:t>coût du temps</a:t>
          </a:r>
          <a:r>
            <a:rPr lang="fr-FR"/>
            <a:t> (theta négatif) : si l’indice et la volatilité restent stables, la valeur du put diminue avec le temps, entraînant une perte quotidienne d’environ 0,63 point liée à l’érosion temporelle de l’option.</a:t>
          </a:r>
          <a:endParaRPr lang="fr-FR" sz="1100"/>
        </a:p>
      </xdr:txBody>
    </xdr:sp>
    <xdr:clientData/>
  </xdr:twoCellAnchor>
  <xdr:twoCellAnchor>
    <xdr:from>
      <xdr:col>21</xdr:col>
      <xdr:colOff>726141</xdr:colOff>
      <xdr:row>27</xdr:row>
      <xdr:rowOff>35859</xdr:rowOff>
    </xdr:from>
    <xdr:to>
      <xdr:col>26</xdr:col>
      <xdr:colOff>699247</xdr:colOff>
      <xdr:row>32</xdr:row>
      <xdr:rowOff>89647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BC219D8F-34FB-0B4E-B9AC-2DAA6D0722AD}"/>
            </a:ext>
          </a:extLst>
        </xdr:cNvPr>
        <xdr:cNvSpPr txBox="1"/>
      </xdr:nvSpPr>
      <xdr:spPr>
        <a:xfrm>
          <a:off x="16988117" y="5549153"/>
          <a:ext cx="4186518" cy="10399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/>
            <a:t>L’approche basée sur le développement de Taylor fournit une approximation rapide et intuitive du P&amp;L, tandis que la revalorisation complète selon le modèle de Black-Scholes est plus précise, en particulier lors de mouvements de marché importants, car elle capture pleinement le comportement non linéaire des prix des options.</a:t>
          </a:r>
          <a:endParaRPr lang="fr-FR" sz="1100"/>
        </a:p>
      </xdr:txBody>
    </xdr:sp>
    <xdr:clientData/>
  </xdr:twoCellAnchor>
  <xdr:twoCellAnchor>
    <xdr:from>
      <xdr:col>38</xdr:col>
      <xdr:colOff>815257</xdr:colOff>
      <xdr:row>2</xdr:row>
      <xdr:rowOff>144207</xdr:rowOff>
    </xdr:from>
    <xdr:to>
      <xdr:col>45</xdr:col>
      <xdr:colOff>450645</xdr:colOff>
      <xdr:row>18</xdr:row>
      <xdr:rowOff>0</xdr:rowOff>
    </xdr:to>
    <xdr:graphicFrame macro="">
      <xdr:nvGraphicFramePr>
        <xdr:cNvPr id="21" name="Graphique 9">
          <a:extLst>
            <a:ext uri="{FF2B5EF4-FFF2-40B4-BE49-F238E27FC236}">
              <a16:creationId xmlns:a16="http://schemas.microsoft.com/office/drawing/2014/main" id="{CDFD71F8-741A-1C87-8A6D-E2BB63B1A875}"/>
            </a:ext>
            <a:ext uri="{147F2762-F138-4A5C-976F-8EAC2B608ADB}">
              <a16:predDERef xmlns:a16="http://schemas.microsoft.com/office/drawing/2014/main" pred="{BC219D8F-34FB-0B4E-B9AC-2DAA6D0722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4</xdr:col>
      <xdr:colOff>458611</xdr:colOff>
      <xdr:row>75</xdr:row>
      <xdr:rowOff>105834</xdr:rowOff>
    </xdr:from>
    <xdr:ext cx="184731" cy="264431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4F4D9188-4964-26A6-C9FB-B7B32AB3B73B}"/>
            </a:ext>
          </a:extLst>
        </xdr:cNvPr>
        <xdr:cNvSpPr txBox="1"/>
      </xdr:nvSpPr>
      <xdr:spPr>
        <a:xfrm>
          <a:off x="4162778" y="15945556"/>
          <a:ext cx="184731" cy="26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twoCellAnchor>
    <xdr:from>
      <xdr:col>4</xdr:col>
      <xdr:colOff>0</xdr:colOff>
      <xdr:row>76</xdr:row>
      <xdr:rowOff>0</xdr:rowOff>
    </xdr:from>
    <xdr:to>
      <xdr:col>16</xdr:col>
      <xdr:colOff>105833</xdr:colOff>
      <xdr:row>86</xdr:row>
      <xdr:rowOff>163871</xdr:rowOff>
    </xdr:to>
    <xdr:sp macro="" textlink="">
      <xdr:nvSpPr>
        <xdr:cNvPr id="2056" name="Text Box 3">
          <a:extLst>
            <a:ext uri="{FF2B5EF4-FFF2-40B4-BE49-F238E27FC236}">
              <a16:creationId xmlns:a16="http://schemas.microsoft.com/office/drawing/2014/main" id="{AAC7B791-044B-35C6-0DB7-0A2DE5D085CF}"/>
            </a:ext>
          </a:extLst>
        </xdr:cNvPr>
        <xdr:cNvSpPr txBox="1">
          <a:spLocks noChangeArrowheads="1"/>
        </xdr:cNvSpPr>
      </xdr:nvSpPr>
      <xdr:spPr bwMode="auto">
        <a:xfrm>
          <a:off x="3796344" y="16277849"/>
          <a:ext cx="12696586" cy="2212259"/>
        </a:xfrm>
        <a:prstGeom prst="rect">
          <a:avLst/>
        </a:prstGeom>
        <a:solidFill>
          <a:schemeClr val="bg1">
            <a:lumMod val="95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18288" tIns="18288" rIns="0" bIns="0" anchor="t" upright="1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i="0" u="sng" strike="noStrike" baseline="0">
              <a:solidFill>
                <a:srgbClr val="FF0000"/>
              </a:solidFill>
              <a:latin typeface="Aptos Narrow" pitchFamily="2" charset="0"/>
            </a:rPr>
            <a:t>Bilan : </a:t>
          </a:r>
          <a:endParaRPr lang="en-GB" sz="1100" b="0" i="0" u="none" strike="noStrike">
            <a:effectLst/>
            <a:latin typeface="+mn-lt"/>
            <a:ea typeface="+mn-ea"/>
            <a:cs typeface="+mn-cs"/>
          </a:endParaRPr>
        </a:p>
        <a:p>
          <a:endParaRPr lang="en-GB" sz="1100" b="0" i="0" u="none" strike="noStrike">
            <a:effectLst/>
            <a:latin typeface="+mn-lt"/>
            <a:ea typeface="+mn-ea"/>
            <a:cs typeface="+mn-cs"/>
          </a:endParaRPr>
        </a:p>
        <a:p>
          <a:r>
            <a:rPr lang="en-GB" sz="1100" b="0" i="0" u="none" strike="noStrike">
              <a:effectLst/>
              <a:latin typeface="+mn-lt"/>
              <a:ea typeface="+mn-ea"/>
              <a:cs typeface="+mn-cs"/>
            </a:rPr>
            <a:t>Sur la période étudiée, l’Euro Stoxx 50 enregistre une performance d’environ </a:t>
          </a:r>
          <a:r>
            <a:rPr lang="en-GB" sz="1100" b="1" i="0" u="none" strike="noStrike">
              <a:effectLst/>
              <a:latin typeface="+mn-lt"/>
              <a:ea typeface="+mn-ea"/>
              <a:cs typeface="+mn-cs"/>
            </a:rPr>
            <a:t>+16,74 %</a:t>
          </a:r>
          <a:r>
            <a:rPr lang="en-GB" sz="1100" b="0" i="0" u="none" strike="noStrike">
              <a:effectLst/>
              <a:latin typeface="+mn-lt"/>
              <a:ea typeface="+mn-ea"/>
              <a:cs typeface="+mn-cs"/>
            </a:rPr>
            <a:t> et une volatilité réalisée quotidienne d’environ </a:t>
          </a:r>
          <a:r>
            <a:rPr lang="en-GB" sz="1100" b="1" i="0" u="none" strike="noStrike">
              <a:effectLst/>
              <a:latin typeface="+mn-lt"/>
              <a:ea typeface="+mn-ea"/>
              <a:cs typeface="+mn-cs"/>
            </a:rPr>
            <a:t>1,44 %</a:t>
          </a:r>
          <a:r>
            <a:rPr lang="en-GB" sz="1100" b="0" i="0" u="none" strike="noStrike">
              <a:effectLst/>
              <a:latin typeface="+mn-lt"/>
              <a:ea typeface="+mn-ea"/>
              <a:cs typeface="+mn-cs"/>
            </a:rPr>
            <a:t>, soit </a:t>
          </a:r>
          <a:r>
            <a:rPr lang="en-GB" sz="1100" b="1" i="0" u="none" strike="noStrike">
              <a:effectLst/>
              <a:latin typeface="+mn-lt"/>
              <a:ea typeface="+mn-ea"/>
              <a:cs typeface="+mn-cs"/>
            </a:rPr>
            <a:t>22,92 % annualisée</a:t>
          </a:r>
          <a:r>
            <a:rPr lang="en-GB" sz="1100" b="0" i="0" u="none" strike="noStrike">
              <a:effectLst/>
              <a:latin typeface="+mn-lt"/>
              <a:ea typeface="+mn-ea"/>
              <a:cs typeface="+mn-cs"/>
            </a:rPr>
            <a:t>.</a:t>
          </a:r>
        </a:p>
        <a:p>
          <a:endParaRPr lang="en-GB" sz="1100" b="0" i="0" u="none" strike="noStrike">
            <a:effectLst/>
            <a:latin typeface="+mn-lt"/>
            <a:ea typeface="+mn-ea"/>
            <a:cs typeface="+mn-cs"/>
          </a:endParaRPr>
        </a:p>
        <a:p>
          <a:r>
            <a:rPr lang="en-GB" sz="1100" b="0" i="0" u="none" strike="noStrike">
              <a:effectLst/>
              <a:latin typeface="+mn-lt"/>
              <a:ea typeface="+mn-ea"/>
              <a:cs typeface="+mn-cs"/>
            </a:rPr>
            <a:t>Cette volatilité réalisée est inférieure à la volatilité implicite observée au lancement de la stratégie (environ 34–35 %). Cela indique que la protection via le put a été relativement coûteuse ex post par rapport au risque effectivement observé.</a:t>
          </a:r>
        </a:p>
        <a:p>
          <a:endParaRPr lang="en-GB" sz="1100" b="0" i="0" u="none" strike="noStrike">
            <a:effectLst/>
            <a:latin typeface="+mn-lt"/>
            <a:ea typeface="+mn-ea"/>
            <a:cs typeface="+mn-cs"/>
          </a:endParaRPr>
        </a:p>
        <a:p>
          <a:r>
            <a:rPr lang="en-GB" sz="1100" b="0" i="0" u="none" strike="noStrike">
              <a:effectLst/>
              <a:latin typeface="+mn-lt"/>
              <a:ea typeface="+mn-ea"/>
              <a:cs typeface="+mn-cs"/>
            </a:rPr>
            <a:t>La stratégie de type protective put affiche une performance positive en absolu (≈ +14,8 %) puisque l’indice progresse sur la période. Toutefois, elle sous-performe l’indice (≈ –1,9 %) en raison du coût initial de la prime du put et de l’absence de baisse significative du marché rendant la protection peu utile à maturité.</a:t>
          </a:r>
        </a:p>
        <a:p>
          <a:endParaRPr lang="en-GB" sz="1100" b="0" i="0" u="none" strike="noStrike">
            <a:effectLst/>
            <a:latin typeface="+mn-lt"/>
            <a:ea typeface="+mn-ea"/>
            <a:cs typeface="+mn-cs"/>
          </a:endParaRPr>
        </a:p>
        <a:p>
          <a:r>
            <a:rPr lang="en-GB" sz="1100" b="0" i="0" u="none" strike="noStrike">
              <a:effectLst/>
              <a:latin typeface="+mn-lt"/>
              <a:ea typeface="+mn-ea"/>
              <a:cs typeface="+mn-cs"/>
            </a:rPr>
            <a:t>En effet, la protective put agit comme une assurance : la prime payée constitue un coût certain. En l’absence de baisse marquée du marché, le put expire sans valeur, ce qui explique la sous-performance relative de la stratégie.</a:t>
          </a:r>
        </a:p>
      </xdr:txBody>
    </xdr:sp>
    <xdr:clientData/>
  </xdr:twoCellAnchor>
  <xdr:twoCellAnchor>
    <xdr:from>
      <xdr:col>41</xdr:col>
      <xdr:colOff>724943</xdr:colOff>
      <xdr:row>5</xdr:row>
      <xdr:rowOff>67383</xdr:rowOff>
    </xdr:from>
    <xdr:to>
      <xdr:col>41</xdr:col>
      <xdr:colOff>732413</xdr:colOff>
      <xdr:row>13</xdr:row>
      <xdr:rowOff>44971</xdr:rowOff>
    </xdr:to>
    <xdr:cxnSp macro="">
      <xdr:nvCxnSpPr>
        <xdr:cNvPr id="13" name="Connecteur droit 12">
          <a:extLst>
            <a:ext uri="{FF2B5EF4-FFF2-40B4-BE49-F238E27FC236}">
              <a16:creationId xmlns:a16="http://schemas.microsoft.com/office/drawing/2014/main" id="{9C0221BC-9083-9C6A-6FA8-3DC23348FA4C}"/>
            </a:ext>
          </a:extLst>
        </xdr:cNvPr>
        <xdr:cNvCxnSpPr/>
      </xdr:nvCxnSpPr>
      <xdr:spPr>
        <a:xfrm>
          <a:off x="39066369" y="1251878"/>
          <a:ext cx="7470" cy="1546855"/>
        </a:xfrm>
        <a:prstGeom prst="line">
          <a:avLst/>
        </a:prstGeom>
        <a:ln w="9525">
          <a:prstDash val="sysDot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268941</xdr:colOff>
      <xdr:row>4</xdr:row>
      <xdr:rowOff>216646</xdr:rowOff>
    </xdr:from>
    <xdr:to>
      <xdr:col>42</xdr:col>
      <xdr:colOff>440765</xdr:colOff>
      <xdr:row>5</xdr:row>
      <xdr:rowOff>59765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FFA8EC4F-955F-BDEE-0938-53649714D82E}"/>
            </a:ext>
          </a:extLst>
        </xdr:cNvPr>
        <xdr:cNvSpPr/>
      </xdr:nvSpPr>
      <xdr:spPr>
        <a:xfrm>
          <a:off x="38802235" y="1023470"/>
          <a:ext cx="1008530" cy="239060"/>
        </a:xfrm>
        <a:prstGeom prst="rect">
          <a:avLst/>
        </a:prstGeom>
        <a:noFill/>
        <a:ln w="9525">
          <a:prstDash val="sysDot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900" b="1">
              <a:solidFill>
                <a:sysClr val="windowText" lastClr="000000"/>
              </a:solidFill>
              <a:effectLst/>
            </a:rPr>
            <a:t>Strik</a:t>
          </a:r>
          <a:r>
            <a:rPr lang="fr-FR" sz="900" b="1" baseline="0">
              <a:solidFill>
                <a:sysClr val="windowText" lastClr="000000"/>
              </a:solidFill>
              <a:effectLst/>
            </a:rPr>
            <a:t>e = 90%</a:t>
          </a:r>
          <a:r>
            <a:rPr lang="fr-FR" sz="900" b="1" i="0" baseline="0">
              <a:solidFill>
                <a:sysClr val="windowText" lastClr="000000"/>
              </a:solidFill>
              <a:effectLst/>
            </a:rPr>
            <a:t>S₀</a:t>
          </a:r>
          <a:endParaRPr lang="fr-FR" sz="9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0</xdr:colOff>
      <xdr:row>4</xdr:row>
      <xdr:rowOff>6722</xdr:rowOff>
    </xdr:from>
    <xdr:to>
      <xdr:col>38</xdr:col>
      <xdr:colOff>750793</xdr:colOff>
      <xdr:row>27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FC00348-B4D5-F90B-E36D-C2F914D8D0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761999</xdr:colOff>
      <xdr:row>28</xdr:row>
      <xdr:rowOff>201704</xdr:rowOff>
    </xdr:from>
    <xdr:to>
      <xdr:col>38</xdr:col>
      <xdr:colOff>750794</xdr:colOff>
      <xdr:row>50</xdr:row>
      <xdr:rowOff>89645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B6CF38C-F67C-77C0-7679-A4284EB243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28219</xdr:colOff>
      <xdr:row>0</xdr:row>
      <xdr:rowOff>18815</xdr:rowOff>
    </xdr:from>
    <xdr:to>
      <xdr:col>32</xdr:col>
      <xdr:colOff>771768</xdr:colOff>
      <xdr:row>5</xdr:row>
      <xdr:rowOff>1085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D7B2F6B1-FE8A-6158-BD38-415F2D9B2F9B}"/>
            </a:ext>
          </a:extLst>
        </xdr:cNvPr>
        <xdr:cNvSpPr txBox="1"/>
      </xdr:nvSpPr>
      <xdr:spPr>
        <a:xfrm>
          <a:off x="25750604" y="18815"/>
          <a:ext cx="4016241" cy="12425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/>
            <a:t>La position sur l’indice contribue uniquement au delta de la stratégie ; les autres sensibilités sont nulles.</a:t>
          </a:r>
          <a:r>
            <a:rPr lang="fr-FR" sz="1100"/>
            <a:t>Un indice boursier a:</a:t>
          </a:r>
        </a:p>
        <a:p>
          <a:r>
            <a:rPr lang="fr-FR" sz="1100"/>
            <a:t>- Delt</a:t>
          </a:r>
          <a:r>
            <a:rPr lang="fr-FR" sz="1100" baseline="0"/>
            <a:t>a = 1</a:t>
          </a:r>
        </a:p>
        <a:p>
          <a:r>
            <a:rPr lang="fr-FR" sz="1100" baseline="0"/>
            <a:t>- Gamma = 0</a:t>
          </a:r>
        </a:p>
        <a:p>
          <a:r>
            <a:rPr lang="fr-FR" sz="1100" baseline="0"/>
            <a:t>- Thêta = 0</a:t>
          </a:r>
        </a:p>
        <a:p>
          <a:r>
            <a:rPr lang="fr-FR" sz="1100" baseline="0"/>
            <a:t>- Vega = 0</a:t>
          </a:r>
          <a:endParaRPr lang="fr-FR" sz="1100"/>
        </a:p>
      </xdr:txBody>
    </xdr:sp>
    <xdr:clientData/>
  </xdr:twoCellAnchor>
  <xdr:twoCellAnchor>
    <xdr:from>
      <xdr:col>18</xdr:col>
      <xdr:colOff>215968</xdr:colOff>
      <xdr:row>23</xdr:row>
      <xdr:rowOff>1</xdr:rowOff>
    </xdr:from>
    <xdr:to>
      <xdr:col>22</xdr:col>
      <xdr:colOff>779318</xdr:colOff>
      <xdr:row>33</xdr:row>
      <xdr:rowOff>185999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454B54D4-248E-1930-A7CD-BF9AC06D13CF}"/>
                </a:ext>
              </a:extLst>
            </xdr:cNvPr>
            <xdr:cNvSpPr txBox="1"/>
          </xdr:nvSpPr>
          <xdr:spPr>
            <a:xfrm>
              <a:off x="12685059" y="5905501"/>
              <a:ext cx="3888441" cy="226418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1100"/>
                <a:t>Revalorisant des</a:t>
              </a:r>
              <a:r>
                <a:rPr lang="fr-FR" sz="1100" baseline="0"/>
                <a:t> options via formules de Black &amp; Scholes: </a:t>
              </a:r>
            </a:p>
            <a:p>
              <a:r>
                <a:rPr lang="fr-FR" b="1"/>
                <a:t>Calculer le P&amp;L “full reprice” de la stratégie (sur 1 jour)</a:t>
              </a:r>
            </a:p>
            <a:p>
              <a:r>
                <a:rPr lang="fr-FR"/>
                <a:t>La stratégie = +1 indice +1 put2100 −1 put1900.</a:t>
              </a:r>
            </a:p>
            <a:p>
              <a:r>
                <a:rPr lang="fr-FR"/>
                <a:t>Donc :</a:t>
              </a:r>
            </a:p>
            <a:p>
              <a:r>
                <a:rPr lang="fr-FR" b="1"/>
                <a:t>4.1 P&amp;L sur l’indice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l-GR" sz="1100">
                        <a:solidFill>
                          <a:schemeClr val="dk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Δ</m:t>
                    </m:r>
                    <m:r>
                      <a:rPr lang="el-GR" sz="1100" i="1">
                        <a:solidFill>
                          <a:schemeClr val="dk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𝑆</m:t>
                    </m:r>
                    <m:r>
                      <a:rPr lang="el-GR" sz="1100" i="0">
                        <a:solidFill>
                          <a:schemeClr val="dk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ar-AE" sz="1100" i="1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ar-AE" sz="1100" i="1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e>
                      <m:sup>
                        <m:r>
                          <a:rPr lang="ar-AE" sz="1100" i="1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𝑠𝑐</m:t>
                        </m:r>
                      </m:sup>
                    </m:sSup>
                    <m:r>
                      <a:rPr lang="ar-AE" sz="1100" i="0">
                        <a:solidFill>
                          <a:schemeClr val="dk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ar-AE" sz="1100" i="1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ar-AE" sz="1100" i="1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e>
                      <m:sub>
                        <m:r>
                          <a:rPr lang="ar-AE" sz="1100" i="0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ar-AE"/>
            </a:p>
            <a:p>
              <a:r>
                <a:rPr lang="ar-AE" b="1"/>
                <a:t>4.2 </a:t>
              </a:r>
              <a:r>
                <a:rPr lang="fr-FR" b="1"/>
                <a:t>P&amp;L sur les options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l-GR" sz="1100">
                        <a:solidFill>
                          <a:schemeClr val="dk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Δ</m:t>
                    </m:r>
                    <m:sSub>
                      <m:sSubPr>
                        <m:ctrlPr>
                          <a:rPr lang="ar-AE" sz="1100" i="1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ar-AE" sz="1100" i="1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e>
                      <m:sub>
                        <m:r>
                          <a:rPr lang="ar-AE" sz="1100" i="0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2100</m:t>
                        </m:r>
                      </m:sub>
                    </m:sSub>
                    <m:r>
                      <a:rPr lang="ar-AE" sz="1100" i="0">
                        <a:solidFill>
                          <a:schemeClr val="dk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ar-AE" sz="1100" i="1">
                        <a:solidFill>
                          <a:schemeClr val="dk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𝑃</m:t>
                    </m:r>
                    <m:sSub>
                      <m:sSubPr>
                        <m:ctrlPr>
                          <a:rPr lang="ar-AE" sz="1100" i="1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ar-AE" sz="1100" i="0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e>
                      <m:sub>
                        <m:r>
                          <a:rPr lang="ar-AE" sz="1100" i="0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2100</m:t>
                        </m:r>
                      </m:sub>
                    </m:sSub>
                    <m:r>
                      <a:rPr lang="ar-AE" sz="1100" i="0">
                        <a:solidFill>
                          <a:schemeClr val="dk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a:rPr lang="ar-AE" sz="1100" i="1">
                        <a:solidFill>
                          <a:schemeClr val="dk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𝑃</m:t>
                    </m:r>
                    <m:sSub>
                      <m:sSubPr>
                        <m:ctrlPr>
                          <a:rPr lang="ar-AE" sz="1100" i="1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ar-AE" sz="1100" i="0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e>
                      <m:sub>
                        <m:r>
                          <a:rPr lang="ar-AE" sz="1100" i="0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2100</m:t>
                        </m:r>
                      </m:sub>
                    </m:sSub>
                  </m:oMath>
                </m:oMathPara>
              </a14:m>
              <a:endParaRPr lang="ar-AE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l-GR" sz="1100">
                        <a:solidFill>
                          <a:schemeClr val="dk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Δ</m:t>
                    </m:r>
                    <m:sSub>
                      <m:sSubPr>
                        <m:ctrlPr>
                          <a:rPr lang="ar-AE" sz="1100" i="1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ar-AE" sz="1100" i="1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e>
                      <m:sub>
                        <m:r>
                          <a:rPr lang="ar-AE" sz="1100" i="0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1900</m:t>
                        </m:r>
                      </m:sub>
                    </m:sSub>
                    <m:r>
                      <a:rPr lang="ar-AE" sz="1100" i="0">
                        <a:solidFill>
                          <a:schemeClr val="dk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ar-AE" sz="1100" i="1">
                        <a:solidFill>
                          <a:schemeClr val="dk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𝑃</m:t>
                    </m:r>
                    <m:sSub>
                      <m:sSubPr>
                        <m:ctrlPr>
                          <a:rPr lang="ar-AE" sz="1100" i="1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ar-AE" sz="1100" i="0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e>
                      <m:sub>
                        <m:r>
                          <a:rPr lang="ar-AE" sz="1100" i="0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1900</m:t>
                        </m:r>
                      </m:sub>
                    </m:sSub>
                    <m:r>
                      <a:rPr lang="ar-AE" sz="1100" i="0">
                        <a:solidFill>
                          <a:schemeClr val="dk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a:rPr lang="ar-AE" sz="1100" i="1">
                        <a:solidFill>
                          <a:schemeClr val="dk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𝑃</m:t>
                    </m:r>
                    <m:sSub>
                      <m:sSubPr>
                        <m:ctrlPr>
                          <a:rPr lang="ar-AE" sz="1100" i="1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ar-AE" sz="1100" i="0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e>
                      <m:sub>
                        <m:r>
                          <a:rPr lang="ar-AE" sz="1100" i="0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1900</m:t>
                        </m:r>
                      </m:sub>
                    </m:sSub>
                  </m:oMath>
                </m:oMathPara>
              </a14:m>
              <a:endParaRPr lang="ar-AE"/>
            </a:p>
            <a:p>
              <a:r>
                <a:rPr lang="ar-AE" b="1"/>
                <a:t>4.3 </a:t>
              </a:r>
              <a:r>
                <a:rPr lang="fr-FR" b="1"/>
                <a:t>P&amp;L total stratégie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borderBox>
                      <m:borderBoxPr>
                        <m:ctrlPr>
                          <a:rPr lang="ar-AE" sz="1100" i="1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borderBoxPr>
                      <m:e>
                        <m:r>
                          <a:rPr lang="ar-AE" sz="1100" i="1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  <m:r>
                          <m:rPr>
                            <m:lit/>
                          </m:rPr>
                          <a:rPr lang="ar-AE" sz="1100" i="0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&amp;</m:t>
                        </m:r>
                        <m:sSup>
                          <m:sSupPr>
                            <m:ctrlPr>
                              <a:rPr lang="ar-AE" sz="1100" i="1">
                                <a:solidFill>
                                  <a:schemeClr val="dk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ar-AE" sz="1100" i="1">
                                <a:solidFill>
                                  <a:schemeClr val="dk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𝐿</m:t>
                            </m:r>
                          </m:e>
                          <m:sup>
                            <m:r>
                              <a:rPr lang="ar-AE" sz="1100" i="1">
                                <a:solidFill>
                                  <a:schemeClr val="dk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𝐵𝑆</m:t>
                            </m:r>
                          </m:sup>
                        </m:sSup>
                        <m:r>
                          <a:rPr lang="ar-AE" sz="1100" i="0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</m:t>
                        </m:r>
                        <m:d>
                          <m:dPr>
                            <m:ctrlPr>
                              <a:rPr lang="ar-AE" sz="1100" i="1">
                                <a:solidFill>
                                  <a:schemeClr val="dk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ar-AE" sz="1100" i="1">
                                    <a:solidFill>
                                      <a:schemeClr val="dk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ar-AE" sz="1100" i="1">
                                    <a:solidFill>
                                      <a:schemeClr val="dk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e>
                              <m:sup>
                                <m:r>
                                  <a:rPr lang="ar-AE" sz="1100" i="1">
                                    <a:solidFill>
                                      <a:schemeClr val="dk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𝑠𝑐</m:t>
                                </m:r>
                              </m:sup>
                            </m:sSup>
                            <m:r>
                              <a:rPr lang="ar-AE" sz="1100" i="0">
                                <a:solidFill>
                                  <a:schemeClr val="dk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ar-AE" sz="1100" i="1">
                                    <a:solidFill>
                                      <a:schemeClr val="dk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ar-AE" sz="1100" i="1">
                                    <a:solidFill>
                                      <a:schemeClr val="dk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ar-AE" sz="1100" i="0">
                                    <a:solidFill>
                                      <a:schemeClr val="dk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</m:e>
                        </m:d>
                        <m:r>
                          <a:rPr lang="ar-AE" sz="1100" i="0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d>
                          <m:dPr>
                            <m:ctrlPr>
                              <a:rPr lang="ar-AE" sz="1100" i="1">
                                <a:solidFill>
                                  <a:schemeClr val="dk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ar-AE" sz="1100" i="1">
                                <a:solidFill>
                                  <a:schemeClr val="dk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</m:t>
                            </m:r>
                            <m:sSub>
                              <m:sSubPr>
                                <m:ctrlPr>
                                  <a:rPr lang="ar-AE" sz="1100" i="1">
                                    <a:solidFill>
                                      <a:schemeClr val="dk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ar-AE" sz="1100" i="0">
                                    <a:solidFill>
                                      <a:schemeClr val="dk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e>
                              <m:sub>
                                <m:r>
                                  <a:rPr lang="ar-AE" sz="1100" i="0">
                                    <a:solidFill>
                                      <a:schemeClr val="dk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2100</m:t>
                                </m:r>
                              </m:sub>
                            </m:sSub>
                            <m:r>
                              <a:rPr lang="ar-AE" sz="1100" i="0">
                                <a:solidFill>
                                  <a:schemeClr val="dk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ar-AE" sz="1100" i="1">
                                <a:solidFill>
                                  <a:schemeClr val="dk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</m:t>
                            </m:r>
                            <m:sSub>
                              <m:sSubPr>
                                <m:ctrlPr>
                                  <a:rPr lang="ar-AE" sz="1100" i="1">
                                    <a:solidFill>
                                      <a:schemeClr val="dk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ar-AE" sz="1100" i="0">
                                    <a:solidFill>
                                      <a:schemeClr val="dk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e>
                              <m:sub>
                                <m:r>
                                  <a:rPr lang="ar-AE" sz="1100" i="0">
                                    <a:solidFill>
                                      <a:schemeClr val="dk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2100</m:t>
                                </m:r>
                              </m:sub>
                            </m:sSub>
                          </m:e>
                        </m:d>
                        <m:r>
                          <a:rPr lang="ar-AE" sz="1100" i="0">
                            <a:solidFill>
                              <a:schemeClr val="dk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d>
                          <m:dPr>
                            <m:ctrlPr>
                              <a:rPr lang="ar-AE" sz="1100" i="1">
                                <a:solidFill>
                                  <a:schemeClr val="dk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ar-AE" sz="1100" i="1">
                                <a:solidFill>
                                  <a:schemeClr val="dk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</m:t>
                            </m:r>
                            <m:sSub>
                              <m:sSubPr>
                                <m:ctrlPr>
                                  <a:rPr lang="ar-AE" sz="1100" i="1">
                                    <a:solidFill>
                                      <a:schemeClr val="dk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ar-AE" sz="1100" i="0">
                                    <a:solidFill>
                                      <a:schemeClr val="dk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e>
                              <m:sub>
                                <m:r>
                                  <a:rPr lang="ar-AE" sz="1100" i="0">
                                    <a:solidFill>
                                      <a:schemeClr val="dk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1900</m:t>
                                </m:r>
                              </m:sub>
                            </m:sSub>
                            <m:r>
                              <a:rPr lang="ar-AE" sz="1100" i="0">
                                <a:solidFill>
                                  <a:schemeClr val="dk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ar-AE" sz="1100" i="1">
                                <a:solidFill>
                                  <a:schemeClr val="dk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</m:t>
                            </m:r>
                            <m:sSub>
                              <m:sSubPr>
                                <m:ctrlPr>
                                  <a:rPr lang="ar-AE" sz="1100" i="1">
                                    <a:solidFill>
                                      <a:schemeClr val="dk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ar-AE" sz="1100" i="0">
                                    <a:solidFill>
                                      <a:schemeClr val="dk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e>
                              <m:sub>
                                <m:r>
                                  <a:rPr lang="ar-AE" sz="1100" i="0">
                                    <a:solidFill>
                                      <a:schemeClr val="dk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1900</m:t>
                                </m:r>
                              </m:sub>
                            </m:sSub>
                          </m:e>
                        </m:d>
                      </m:e>
                    </m:borderBox>
                  </m:oMath>
                </m:oMathPara>
              </a14:m>
              <a:endParaRPr lang="ar-AE"/>
            </a:p>
            <a:p>
              <a:endParaRPr lang="fr-FR" sz="1100"/>
            </a:p>
          </xdr:txBody>
        </xdr:sp>
      </mc:Choice>
      <mc:Fallback xmlns="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454B54D4-248E-1930-A7CD-BF9AC06D13CF}"/>
                </a:ext>
              </a:extLst>
            </xdr:cNvPr>
            <xdr:cNvSpPr txBox="1"/>
          </xdr:nvSpPr>
          <xdr:spPr>
            <a:xfrm>
              <a:off x="12685059" y="5905501"/>
              <a:ext cx="3888441" cy="226418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1100"/>
                <a:t>Revalorisant des</a:t>
              </a:r>
              <a:r>
                <a:rPr lang="fr-FR" sz="1100" baseline="0"/>
                <a:t> options via formules de Black &amp; Scholes: </a:t>
              </a:r>
            </a:p>
            <a:p>
              <a:r>
                <a:rPr lang="fr-FR" b="1"/>
                <a:t>Calculer le P&amp;L “full reprice” de la stratégie (sur 1 jour)</a:t>
              </a:r>
            </a:p>
            <a:p>
              <a:r>
                <a:rPr lang="fr-FR"/>
                <a:t>La stratégie = +1 indice +1 put2100 −1 put1900.</a:t>
              </a:r>
            </a:p>
            <a:p>
              <a:r>
                <a:rPr lang="fr-FR"/>
                <a:t>Donc :</a:t>
              </a:r>
            </a:p>
            <a:p>
              <a:r>
                <a:rPr lang="fr-FR" b="1"/>
                <a:t>4.1 P&amp;L sur l’indice</a:t>
              </a:r>
            </a:p>
            <a:p>
              <a:pPr/>
              <a:r>
                <a:rPr lang="el-GR" sz="1100" i="0">
                  <a:solidFill>
                    <a:schemeClr val="dk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Δ𝑆=</a:t>
              </a:r>
              <a:r>
                <a:rPr lang="ar-AE" sz="1100" i="0">
                  <a:solidFill>
                    <a:schemeClr val="dk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𝑆^𝑠𝑐−𝑆_0</a:t>
              </a:r>
              <a:endParaRPr lang="ar-AE"/>
            </a:p>
            <a:p>
              <a:r>
                <a:rPr lang="ar-AE" b="1"/>
                <a:t>4.2 </a:t>
              </a:r>
              <a:r>
                <a:rPr lang="fr-FR" b="1"/>
                <a:t>P&amp;L sur les options</a:t>
              </a:r>
            </a:p>
            <a:p>
              <a:pPr/>
              <a:r>
                <a:rPr lang="el-GR" sz="1100" i="0">
                  <a:solidFill>
                    <a:schemeClr val="dk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Δ</a:t>
              </a:r>
              <a:r>
                <a:rPr lang="ar-AE" sz="1100" i="0">
                  <a:solidFill>
                    <a:schemeClr val="dk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𝑃_2100=𝑃1_2100−𝑃0_2100</a:t>
              </a:r>
              <a:endParaRPr lang="ar-AE"/>
            </a:p>
            <a:p>
              <a:pPr/>
              <a:r>
                <a:rPr lang="el-GR" sz="1100" i="0">
                  <a:solidFill>
                    <a:schemeClr val="dk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Δ</a:t>
              </a:r>
              <a:r>
                <a:rPr lang="ar-AE" sz="1100" i="0">
                  <a:solidFill>
                    <a:schemeClr val="dk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𝑃_1900=𝑃1_1900−𝑃0_1900</a:t>
              </a:r>
              <a:endParaRPr lang="ar-AE"/>
            </a:p>
            <a:p>
              <a:r>
                <a:rPr lang="ar-AE" b="1"/>
                <a:t>4.3 </a:t>
              </a:r>
              <a:r>
                <a:rPr lang="fr-FR" b="1"/>
                <a:t>P&amp;L total stratégie</a:t>
              </a:r>
            </a:p>
            <a:p>
              <a:pPr/>
              <a:r>
                <a:rPr lang="ar-AE" sz="1100" i="0">
                  <a:solidFill>
                    <a:schemeClr val="dk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▭(𝑃\&amp;𝐿^𝐵𝑆=(𝑆^𝑠𝑐−𝑆_0 )+(𝑃1_2100−𝑃0_2100 )−(𝑃1_1900−𝑃0_1900 ) )</a:t>
              </a:r>
              <a:endParaRPr lang="ar-AE"/>
            </a:p>
            <a:p>
              <a:endParaRPr lang="fr-FR" sz="1100"/>
            </a:p>
          </xdr:txBody>
        </xdr:sp>
      </mc:Fallback>
    </mc:AlternateContent>
    <xdr:clientData/>
  </xdr:twoCellAnchor>
  <xdr:twoCellAnchor>
    <xdr:from>
      <xdr:col>18</xdr:col>
      <xdr:colOff>656319</xdr:colOff>
      <xdr:row>15</xdr:row>
      <xdr:rowOff>4900</xdr:rowOff>
    </xdr:from>
    <xdr:to>
      <xdr:col>22</xdr:col>
      <xdr:colOff>744070</xdr:colOff>
      <xdr:row>21</xdr:row>
      <xdr:rowOff>1167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84EA23BD-D040-3500-3D56-0C8061E549D5}"/>
            </a:ext>
          </a:extLst>
        </xdr:cNvPr>
        <xdr:cNvSpPr txBox="1"/>
      </xdr:nvSpPr>
      <xdr:spPr>
        <a:xfrm>
          <a:off x="13296554" y="3680429"/>
          <a:ext cx="3458481" cy="11796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/>
            <a:t>Le P&amp;L de la stratégie sur une journée est approché par un développement de Taylor d’ordre 2 : en utilisant les Greeks:</a:t>
          </a:r>
        </a:p>
        <a:p>
          <a:endParaRPr lang="fr-FR" sz="1100"/>
        </a:p>
      </xdr:txBody>
    </xdr:sp>
    <xdr:clientData/>
  </xdr:twoCellAnchor>
  <xdr:twoCellAnchor editAs="oneCell">
    <xdr:from>
      <xdr:col>19</xdr:col>
      <xdr:colOff>28698</xdr:colOff>
      <xdr:row>17</xdr:row>
      <xdr:rowOff>156855</xdr:rowOff>
    </xdr:from>
    <xdr:to>
      <xdr:col>22</xdr:col>
      <xdr:colOff>226202</xdr:colOff>
      <xdr:row>19</xdr:row>
      <xdr:rowOff>156855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B25F6E89-292E-2EB2-3DDA-5F0057C1C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11616" y="4226831"/>
          <a:ext cx="3096782" cy="394448"/>
        </a:xfrm>
        <a:prstGeom prst="rect">
          <a:avLst/>
        </a:prstGeom>
      </xdr:spPr>
    </xdr:pic>
    <xdr:clientData/>
  </xdr:twoCellAnchor>
  <xdr:oneCellAnchor>
    <xdr:from>
      <xdr:col>4</xdr:col>
      <xdr:colOff>458611</xdr:colOff>
      <xdr:row>76</xdr:row>
      <xdr:rowOff>105834</xdr:rowOff>
    </xdr:from>
    <xdr:ext cx="184731" cy="264431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579C8096-C1A8-9B4C-B420-FADBC5396DAB}"/>
            </a:ext>
          </a:extLst>
        </xdr:cNvPr>
        <xdr:cNvSpPr txBox="1"/>
      </xdr:nvSpPr>
      <xdr:spPr>
        <a:xfrm>
          <a:off x="4128911" y="16018934"/>
          <a:ext cx="184731" cy="26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4</xdr:col>
      <xdr:colOff>277091</xdr:colOff>
      <xdr:row>74</xdr:row>
      <xdr:rowOff>115455</xdr:rowOff>
    </xdr:from>
    <xdr:ext cx="184731" cy="264431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9CC54298-8EAD-A38C-077D-769391A0D3F0}"/>
            </a:ext>
          </a:extLst>
        </xdr:cNvPr>
        <xdr:cNvSpPr txBox="1"/>
      </xdr:nvSpPr>
      <xdr:spPr>
        <a:xfrm>
          <a:off x="4433455" y="16302182"/>
          <a:ext cx="184731" cy="26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twoCellAnchor>
    <xdr:from>
      <xdr:col>3</xdr:col>
      <xdr:colOff>161635</xdr:colOff>
      <xdr:row>72</xdr:row>
      <xdr:rowOff>154707</xdr:rowOff>
    </xdr:from>
    <xdr:to>
      <xdr:col>17</xdr:col>
      <xdr:colOff>138546</xdr:colOff>
      <xdr:row>85</xdr:row>
      <xdr:rowOff>138043</xdr:rowOff>
    </xdr:to>
    <xdr:sp macro="" textlink="">
      <xdr:nvSpPr>
        <xdr:cNvPr id="47" name="Text Box 1">
          <a:extLst>
            <a:ext uri="{FF2B5EF4-FFF2-40B4-BE49-F238E27FC236}">
              <a16:creationId xmlns:a16="http://schemas.microsoft.com/office/drawing/2014/main" id="{8CD95F25-7CAB-52D1-AF19-EF3EC69EB62B}"/>
            </a:ext>
          </a:extLst>
        </xdr:cNvPr>
        <xdr:cNvSpPr txBox="1">
          <a:spLocks noChangeArrowheads="1"/>
        </xdr:cNvSpPr>
      </xdr:nvSpPr>
      <xdr:spPr bwMode="auto">
        <a:xfrm flipV="1">
          <a:off x="3253809" y="15339490"/>
          <a:ext cx="13132454" cy="2675183"/>
        </a:xfrm>
        <a:prstGeom prst="rect">
          <a:avLst/>
        </a:prstGeom>
        <a:solidFill>
          <a:schemeClr val="bg1">
            <a:lumMod val="95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18288" tIns="18288" rIns="0" bIns="0" anchor="t" upright="1"/>
        <a:lstStyle/>
        <a:p>
          <a:pPr algn="l" rtl="0">
            <a:defRPr sz="1000"/>
          </a:pPr>
          <a:r>
            <a:rPr lang="en-GB" sz="1200" b="0" i="0" u="sng" strike="noStrike" baseline="0">
              <a:solidFill>
                <a:srgbClr val="FF0000"/>
              </a:solidFill>
              <a:latin typeface="Aptos Narrow" pitchFamily="2" charset="0"/>
            </a:rPr>
            <a:t>Bilan : </a:t>
          </a:r>
        </a:p>
        <a:p>
          <a:endParaRPr lang="en-GB" sz="1100" b="0" i="0" u="none" strike="noStrike">
            <a:effectLst/>
            <a:latin typeface="+mn-lt"/>
            <a:ea typeface="+mn-ea"/>
            <a:cs typeface="+mn-cs"/>
          </a:endParaRPr>
        </a:p>
        <a:p>
          <a:r>
            <a:rPr lang="en-GB" sz="1100" b="0" i="0" u="none" strike="noStrike">
              <a:effectLst/>
              <a:latin typeface="+mn-lt"/>
              <a:ea typeface="+mn-ea"/>
              <a:cs typeface="+mn-cs"/>
            </a:rPr>
            <a:t>Sur la période étudiée, l’Euro Stoxx 50 affiche une performance d’environ </a:t>
          </a:r>
          <a:r>
            <a:rPr lang="en-GB" sz="1100" b="1" i="0" u="none" strike="noStrike">
              <a:effectLst/>
              <a:latin typeface="+mn-lt"/>
              <a:ea typeface="+mn-ea"/>
              <a:cs typeface="+mn-cs"/>
            </a:rPr>
            <a:t>+16,74 %</a:t>
          </a:r>
          <a:r>
            <a:rPr lang="en-GB" sz="1100" b="0" i="0" u="none" strike="noStrike">
              <a:effectLst/>
              <a:latin typeface="+mn-lt"/>
              <a:ea typeface="+mn-ea"/>
              <a:cs typeface="+mn-cs"/>
            </a:rPr>
            <a:t> et une volatilité réalisée quotidienne d’environ </a:t>
          </a:r>
          <a:r>
            <a:rPr lang="en-GB" sz="1100" b="1" i="0" u="none" strike="noStrike">
              <a:effectLst/>
              <a:latin typeface="+mn-lt"/>
              <a:ea typeface="+mn-ea"/>
              <a:cs typeface="+mn-cs"/>
            </a:rPr>
            <a:t>1,44 %</a:t>
          </a:r>
          <a:r>
            <a:rPr lang="en-GB" sz="1100" b="0" i="0" u="none" strike="noStrike">
              <a:effectLst/>
              <a:latin typeface="+mn-lt"/>
              <a:ea typeface="+mn-ea"/>
              <a:cs typeface="+mn-cs"/>
            </a:rPr>
            <a:t>, soit </a:t>
          </a:r>
          <a:r>
            <a:rPr lang="en-GB" sz="1100" b="1" i="0" u="none" strike="noStrike">
              <a:effectLst/>
              <a:latin typeface="+mn-lt"/>
              <a:ea typeface="+mn-ea"/>
              <a:cs typeface="+mn-cs"/>
            </a:rPr>
            <a:t>22,92 % annualisée</a:t>
          </a:r>
          <a:r>
            <a:rPr lang="en-GB" sz="1100" b="0" i="0" u="none" strike="noStrike">
              <a:effectLst/>
              <a:latin typeface="+mn-lt"/>
              <a:ea typeface="+mn-ea"/>
              <a:cs typeface="+mn-cs"/>
            </a:rPr>
            <a:t>. Cette volatilité réalisée est inférieure à la volatilité implicite observée au lancement des stratégies (entre </a:t>
          </a:r>
          <a:r>
            <a:rPr lang="en-GB" sz="1100" b="1" i="0" u="none" strike="noStrike">
              <a:effectLst/>
              <a:latin typeface="+mn-lt"/>
              <a:ea typeface="+mn-ea"/>
              <a:cs typeface="+mn-cs"/>
            </a:rPr>
            <a:t>35 % et plus de 40 %</a:t>
          </a:r>
          <a:r>
            <a:rPr lang="en-GB" sz="1100" b="0" i="0" u="none" strike="noStrike">
              <a:effectLst/>
              <a:latin typeface="+mn-lt"/>
              <a:ea typeface="+mn-ea"/>
              <a:cs typeface="+mn-cs"/>
            </a:rPr>
            <a:t>), indiquant une surestimation ex post du risque de marché.</a:t>
          </a:r>
        </a:p>
        <a:p>
          <a:endParaRPr lang="en-GB" sz="1100" b="0" i="0" u="none" strike="noStrike">
            <a:effectLst/>
            <a:latin typeface="+mn-lt"/>
            <a:ea typeface="+mn-ea"/>
            <a:cs typeface="+mn-cs"/>
          </a:endParaRPr>
        </a:p>
        <a:p>
          <a:r>
            <a:rPr lang="en-GB" sz="1100" b="0" i="0" u="none" strike="noStrike">
              <a:effectLst/>
              <a:latin typeface="+mn-lt"/>
              <a:ea typeface="+mn-ea"/>
              <a:cs typeface="+mn-cs"/>
            </a:rPr>
            <a:t>La stratégie 2, intégrant une protection via deux options de vente à des strikes plus bas (2100 et 1900), affiche une performance positive en absolu (≈ </a:t>
          </a:r>
          <a:r>
            <a:rPr lang="en-GB" sz="1100" b="1" i="0" u="none" strike="noStrike">
              <a:effectLst/>
              <a:latin typeface="+mn-lt"/>
              <a:ea typeface="+mn-ea"/>
              <a:cs typeface="+mn-cs"/>
            </a:rPr>
            <a:t>+15,9 %</a:t>
          </a:r>
          <a:r>
            <a:rPr lang="en-GB" sz="1100" b="0" i="0" u="none" strike="noStrike">
              <a:effectLst/>
              <a:latin typeface="+mn-lt"/>
              <a:ea typeface="+mn-ea"/>
              <a:cs typeface="+mn-cs"/>
            </a:rPr>
            <a:t>) mais demeure inférieure à celle de l’indice. Cette sous-performance s’explique par le coût initial des options dans un marché haussier où la protection n’a pas été activée de manière significative.</a:t>
          </a:r>
        </a:p>
        <a:p>
          <a:endParaRPr lang="en-GB" sz="1100" b="0" i="0" u="none" strike="noStrike">
            <a:effectLst/>
            <a:latin typeface="+mn-lt"/>
            <a:ea typeface="+mn-ea"/>
            <a:cs typeface="+mn-cs"/>
          </a:endParaRPr>
        </a:p>
        <a:p>
          <a:r>
            <a:rPr lang="en-GB" sz="1100" b="0" i="0" u="none" strike="noStrike">
              <a:effectLst/>
              <a:latin typeface="+mn-lt"/>
              <a:ea typeface="+mn-ea"/>
              <a:cs typeface="+mn-cs"/>
            </a:rPr>
            <a:t>Toutefois, cette structure de couverture permet une meilleure stabilisation du portefeuille et se traduit par une sous-performance relative plus modérée que celle observée pour la stratégie 1.</a:t>
          </a:r>
        </a:p>
        <a:p>
          <a:endParaRPr lang="en-GB" sz="1200" b="0" i="0" u="none" strike="noStrike" baseline="0">
            <a:solidFill>
              <a:srgbClr val="000000"/>
            </a:solidFill>
            <a:latin typeface="Aptos Narrow" pitchFamily="2" charset="0"/>
          </a:endParaRPr>
        </a:p>
        <a:p>
          <a:pPr algn="l" rtl="0">
            <a:defRPr sz="1000"/>
          </a:pPr>
          <a:r>
            <a:rPr lang="en-GB" sz="1200" b="0" i="0" u="sng" strike="noStrike" baseline="0">
              <a:solidFill>
                <a:srgbClr val="FF0000"/>
              </a:solidFill>
              <a:latin typeface="Aptos Narrow" pitchFamily="2" charset="0"/>
            </a:rPr>
            <a:t>Conclusion : </a:t>
          </a:r>
        </a:p>
        <a:p>
          <a:pPr algn="l" rtl="0">
            <a:defRPr sz="1000"/>
          </a:pPr>
          <a:endParaRPr lang="en-GB" sz="1100" b="0" i="0" u="sng" strike="noStrike" baseline="0">
            <a:solidFill>
              <a:srgbClr val="FF0000"/>
            </a:solidFill>
            <a:latin typeface="Aptos Narrow" pitchFamily="2" charset="0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GB" sz="1100" b="0" i="0" u="none" strike="noStrike">
              <a:effectLst/>
              <a:latin typeface="+mn-lt"/>
              <a:ea typeface="+mn-ea"/>
              <a:cs typeface="+mn-cs"/>
            </a:rPr>
            <a:t>Les deux stratégies sous-performent l’indice sur la période en raison du coût des options dans un environnement haussier et d’une volatilité réalisée inférieure à la volatilité implicite initiale. Néanmoins, la stratégie 2 présente un compromis rendement–protection plus équilibré, en limitant la sous-performance relative tout en conservant un profil de risque amélioré.</a:t>
          </a:r>
        </a:p>
      </xdr:txBody>
    </xdr:sp>
    <xdr:clientData/>
  </xdr:twoCellAnchor>
  <xdr:twoCellAnchor>
    <xdr:from>
      <xdr:col>41</xdr:col>
      <xdr:colOff>237505</xdr:colOff>
      <xdr:row>5</xdr:row>
      <xdr:rowOff>58386</xdr:rowOff>
    </xdr:from>
    <xdr:to>
      <xdr:col>47</xdr:col>
      <xdr:colOff>446942</xdr:colOff>
      <xdr:row>22</xdr:row>
      <xdr:rowOff>146539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5A8F1654-503D-EA44-05F8-3128F6542D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29307</xdr:colOff>
      <xdr:row>11</xdr:row>
      <xdr:rowOff>51289</xdr:rowOff>
    </xdr:from>
    <xdr:to>
      <xdr:col>44</xdr:col>
      <xdr:colOff>44104</xdr:colOff>
      <xdr:row>17</xdr:row>
      <xdr:rowOff>171019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E755D069-C19A-4D07-853B-141BD07E5C3F}"/>
            </a:ext>
          </a:extLst>
        </xdr:cNvPr>
        <xdr:cNvCxnSpPr/>
      </xdr:nvCxnSpPr>
      <xdr:spPr>
        <a:xfrm>
          <a:off x="41470384" y="2513135"/>
          <a:ext cx="14797" cy="1306692"/>
        </a:xfrm>
        <a:prstGeom prst="line">
          <a:avLst/>
        </a:prstGeom>
        <a:ln w="9525">
          <a:prstDash val="sysDot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366346</xdr:colOff>
      <xdr:row>11</xdr:row>
      <xdr:rowOff>102577</xdr:rowOff>
    </xdr:from>
    <xdr:to>
      <xdr:col>43</xdr:col>
      <xdr:colOff>379678</xdr:colOff>
      <xdr:row>18</xdr:row>
      <xdr:rowOff>8360</xdr:rowOff>
    </xdr:to>
    <xdr:cxnSp macro="">
      <xdr:nvCxnSpPr>
        <xdr:cNvPr id="11" name="Connecteur droit 10">
          <a:extLst>
            <a:ext uri="{FF2B5EF4-FFF2-40B4-BE49-F238E27FC236}">
              <a16:creationId xmlns:a16="http://schemas.microsoft.com/office/drawing/2014/main" id="{E3D88796-2408-4E96-8EDC-7143A0C78320}"/>
            </a:ext>
          </a:extLst>
        </xdr:cNvPr>
        <xdr:cNvCxnSpPr/>
      </xdr:nvCxnSpPr>
      <xdr:spPr>
        <a:xfrm>
          <a:off x="40972154" y="2564423"/>
          <a:ext cx="13332" cy="1290572"/>
        </a:xfrm>
        <a:prstGeom prst="line">
          <a:avLst/>
        </a:prstGeom>
        <a:ln w="9525">
          <a:prstDash val="sysDot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747347</xdr:colOff>
      <xdr:row>10</xdr:row>
      <xdr:rowOff>1</xdr:rowOff>
    </xdr:from>
    <xdr:to>
      <xdr:col>44</xdr:col>
      <xdr:colOff>564174</xdr:colOff>
      <xdr:row>11</xdr:row>
      <xdr:rowOff>45343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7489B32A-CEC5-4F91-8E11-C903DE8B3D72}"/>
            </a:ext>
          </a:extLst>
        </xdr:cNvPr>
        <xdr:cNvSpPr/>
      </xdr:nvSpPr>
      <xdr:spPr>
        <a:xfrm>
          <a:off x="41353155" y="2264020"/>
          <a:ext cx="652096" cy="243169"/>
        </a:xfrm>
        <a:prstGeom prst="rect">
          <a:avLst/>
        </a:prstGeom>
        <a:noFill/>
        <a:ln w="9525">
          <a:prstDash val="sysDot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900" b="1" baseline="0">
              <a:solidFill>
                <a:sysClr val="windowText" lastClr="000000"/>
              </a:solidFill>
              <a:effectLst/>
            </a:rPr>
            <a:t>K = 90%</a:t>
          </a:r>
          <a:r>
            <a:rPr lang="fr-FR" sz="900" b="1" i="0" baseline="0">
              <a:solidFill>
                <a:sysClr val="windowText" lastClr="000000"/>
              </a:solidFill>
              <a:effectLst/>
            </a:rPr>
            <a:t>S₀</a:t>
          </a:r>
          <a:endParaRPr lang="fr-FR" sz="9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0.245</cdr:x>
      <cdr:y>0.26735</cdr:y>
    </cdr:from>
    <cdr:to>
      <cdr:x>0.37402</cdr:x>
      <cdr:y>0.34434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7489B32A-CEC5-4F91-8E11-C903DE8B3D72}"/>
            </a:ext>
          </a:extLst>
        </cdr:cNvPr>
        <cdr:cNvSpPr/>
      </cdr:nvSpPr>
      <cdr:spPr>
        <a:xfrm xmlns:a="http://schemas.openxmlformats.org/drawingml/2006/main">
          <a:off x="1279168" y="922671"/>
          <a:ext cx="673611" cy="26573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prstDash val="sysDot"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fr-FR" sz="900" b="1" baseline="0">
              <a:solidFill>
                <a:sysClr val="windowText" lastClr="000000"/>
              </a:solidFill>
              <a:effectLst/>
            </a:rPr>
            <a:t>K = 80%</a:t>
          </a:r>
          <a:r>
            <a:rPr lang="fr-FR" sz="900" b="1" i="0" baseline="0">
              <a:solidFill>
                <a:sysClr val="windowText" lastClr="000000"/>
              </a:solidFill>
              <a:effectLst/>
            </a:rPr>
            <a:t>S₀</a:t>
          </a:r>
          <a:endParaRPr lang="fr-FR" sz="900">
            <a:solidFill>
              <a:sysClr val="windowText" lastClr="00000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1598</xdr:colOff>
      <xdr:row>59</xdr:row>
      <xdr:rowOff>148398</xdr:rowOff>
    </xdr:from>
    <xdr:to>
      <xdr:col>12</xdr:col>
      <xdr:colOff>27214</xdr:colOff>
      <xdr:row>89</xdr:row>
      <xdr:rowOff>13607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5EA0B5-591C-6CBF-F82D-BBE7BA66E5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95250</xdr:colOff>
      <xdr:row>3</xdr:row>
      <xdr:rowOff>123702</xdr:rowOff>
    </xdr:from>
    <xdr:to>
      <xdr:col>44</xdr:col>
      <xdr:colOff>84043</xdr:colOff>
      <xdr:row>25</xdr:row>
      <xdr:rowOff>159184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61CC19A-D848-490A-B7E1-25A27E9733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601FB-2092-44C1-9DC0-51C87BEC277B}">
  <sheetPr codeName="Feuil4"/>
  <dimension ref="A1:AM100"/>
  <sheetViews>
    <sheetView zoomScale="23" zoomScaleNormal="130" workbookViewId="0">
      <selection activeCell="AC26" sqref="AC26"/>
    </sheetView>
  </sheetViews>
  <sheetFormatPr baseColWidth="10" defaultColWidth="11" defaultRowHeight="15.6"/>
  <cols>
    <col min="1" max="1" width="15.19921875" style="3" customWidth="1"/>
    <col min="2" max="3" width="11" style="3"/>
    <col min="4" max="5" width="12.69921875" style="3" customWidth="1"/>
    <col min="6" max="6" width="16.69921875" style="3" customWidth="1"/>
    <col min="7" max="7" width="15.19921875" style="3" customWidth="1"/>
    <col min="8" max="8" width="18" style="3" customWidth="1"/>
    <col min="9" max="9" width="11" style="3"/>
    <col min="10" max="10" width="16" style="3" bestFit="1" customWidth="1"/>
    <col min="11" max="11" width="13.69921875" style="3" bestFit="1" customWidth="1"/>
    <col min="12" max="12" width="17.69921875" style="3" customWidth="1"/>
    <col min="13" max="13" width="11.69921875" style="3" customWidth="1"/>
    <col min="14" max="16" width="11" style="3"/>
    <col min="17" max="17" width="10.19921875" style="3" customWidth="1"/>
    <col min="18" max="18" width="8.19921875" style="3" customWidth="1"/>
    <col min="19" max="35" width="11" style="3"/>
    <col min="36" max="36" width="13.19921875" style="3" bestFit="1" customWidth="1"/>
    <col min="37" max="37" width="11" style="3"/>
    <col min="38" max="38" width="24.69921875" style="3" bestFit="1" customWidth="1"/>
    <col min="39" max="16384" width="11" style="3"/>
  </cols>
  <sheetData>
    <row r="1" spans="1:39">
      <c r="A1" s="1"/>
      <c r="B1" s="1"/>
      <c r="C1" s="1"/>
      <c r="D1" s="2" t="s">
        <v>0</v>
      </c>
      <c r="E1" s="2" t="s">
        <v>0</v>
      </c>
      <c r="F1" s="1"/>
      <c r="G1" s="1"/>
      <c r="H1" s="1"/>
      <c r="I1" s="1"/>
      <c r="J1" s="1"/>
      <c r="K1" s="74" t="s">
        <v>106</v>
      </c>
      <c r="L1" s="1"/>
      <c r="M1" s="1"/>
      <c r="N1" s="1"/>
      <c r="O1" s="1"/>
      <c r="P1" s="1"/>
      <c r="Q1" s="1"/>
      <c r="R1" s="1"/>
      <c r="S1" s="1"/>
    </row>
    <row r="2" spans="1:39">
      <c r="D2" s="4">
        <v>40074</v>
      </c>
      <c r="E2" s="4">
        <v>40074</v>
      </c>
      <c r="F2" s="4">
        <v>40074</v>
      </c>
      <c r="G2" s="4"/>
      <c r="H2" s="4">
        <v>40074</v>
      </c>
      <c r="I2" s="4"/>
    </row>
    <row r="3" spans="1:39">
      <c r="A3" s="1"/>
      <c r="B3" s="1"/>
      <c r="C3" s="1"/>
      <c r="D3" s="5" t="s">
        <v>1</v>
      </c>
      <c r="E3" s="5" t="s">
        <v>1</v>
      </c>
      <c r="F3" s="5" t="s">
        <v>1</v>
      </c>
      <c r="G3" s="5"/>
      <c r="H3" s="5" t="s">
        <v>1</v>
      </c>
      <c r="I3" s="5"/>
      <c r="J3" s="1"/>
      <c r="K3" s="1"/>
      <c r="L3" s="1"/>
      <c r="M3" s="1"/>
      <c r="N3" s="1"/>
      <c r="O3" s="1"/>
      <c r="P3" s="1"/>
      <c r="Q3" s="1"/>
      <c r="R3" s="1"/>
      <c r="S3" s="1"/>
      <c r="AI3" s="3" t="s">
        <v>2</v>
      </c>
      <c r="AJ3" s="3" t="s">
        <v>1</v>
      </c>
      <c r="AK3" s="3" t="s">
        <v>3</v>
      </c>
    </row>
    <row r="4" spans="1:39">
      <c r="A4" s="4"/>
      <c r="D4" s="6">
        <v>2100</v>
      </c>
      <c r="E4" s="6">
        <v>2100</v>
      </c>
      <c r="F4" s="6">
        <v>2100</v>
      </c>
      <c r="G4" s="6"/>
      <c r="H4" s="6">
        <v>2100</v>
      </c>
      <c r="I4" s="6"/>
      <c r="AI4" s="3">
        <f>B6</f>
        <v>2401.69</v>
      </c>
      <c r="AJ4" s="7">
        <f>D4</f>
        <v>2100</v>
      </c>
      <c r="AK4" s="7">
        <f>D6</f>
        <v>41</v>
      </c>
    </row>
    <row r="5" spans="1:39" ht="31.2">
      <c r="A5" s="8" t="s">
        <v>4</v>
      </c>
      <c r="B5" s="9" t="s">
        <v>5</v>
      </c>
      <c r="C5" s="9" t="s">
        <v>6</v>
      </c>
      <c r="D5" s="9" t="s">
        <v>7</v>
      </c>
      <c r="E5" s="9" t="s">
        <v>8</v>
      </c>
      <c r="F5" s="72" t="s">
        <v>9</v>
      </c>
      <c r="G5" s="72" t="s">
        <v>10</v>
      </c>
      <c r="H5" s="72" t="s">
        <v>11</v>
      </c>
      <c r="I5" s="9"/>
      <c r="J5" s="10"/>
      <c r="K5" s="10"/>
      <c r="L5" s="10"/>
      <c r="M5" s="9"/>
      <c r="N5" s="3" t="s">
        <v>12</v>
      </c>
      <c r="P5" s="9"/>
      <c r="Q5" s="3" t="s">
        <v>13</v>
      </c>
      <c r="S5" s="9"/>
      <c r="AI5" s="3" t="s">
        <v>14</v>
      </c>
      <c r="AJ5" s="3" t="s">
        <v>15</v>
      </c>
      <c r="AK5" s="3" t="s">
        <v>16</v>
      </c>
      <c r="AL5" s="3" t="s">
        <v>17</v>
      </c>
    </row>
    <row r="6" spans="1:39">
      <c r="A6" s="4">
        <v>39994</v>
      </c>
      <c r="B6" s="3">
        <v>2401.69</v>
      </c>
      <c r="C6" s="11">
        <v>1.099E-2</v>
      </c>
      <c r="D6" s="6">
        <v>41</v>
      </c>
      <c r="E6" s="12">
        <v>0.3482412321814034</v>
      </c>
      <c r="F6" s="13">
        <f>B6+D6</f>
        <v>2442.69</v>
      </c>
      <c r="G6" s="13">
        <f>(B6/$B$6)*100</f>
        <v>100</v>
      </c>
      <c r="H6" s="13">
        <f>(F6/$F$6)*100</f>
        <v>100</v>
      </c>
      <c r="I6" s="13"/>
      <c r="J6" s="13"/>
      <c r="K6" s="14" t="s">
        <v>18</v>
      </c>
      <c r="L6" s="15" t="s">
        <v>19</v>
      </c>
      <c r="O6" s="3" t="s">
        <v>19</v>
      </c>
      <c r="AI6" s="3">
        <v>1500</v>
      </c>
      <c r="AJ6" s="3">
        <f>AI6-$AI$4</f>
        <v>-901.69</v>
      </c>
      <c r="AK6" s="16">
        <f>MAX($AJ$4-AI6,0)-$AK$4</f>
        <v>559</v>
      </c>
      <c r="AL6" s="16">
        <f>(AI6-$AI$4)+MAX($AJ$4-AI6,0)-$AK$4</f>
        <v>-342.69000000000005</v>
      </c>
      <c r="AM6" s="16"/>
    </row>
    <row r="7" spans="1:39">
      <c r="A7" s="4">
        <v>39995</v>
      </c>
      <c r="B7" s="3">
        <v>2449.73</v>
      </c>
      <c r="C7" s="11">
        <v>1.085E-2</v>
      </c>
      <c r="D7" s="6">
        <v>32.299999999999997</v>
      </c>
      <c r="E7" s="12">
        <v>0.34714570447899196</v>
      </c>
      <c r="F7" s="13">
        <f t="shared" ref="F7:F49" si="0">B7+D7</f>
        <v>2482.0300000000002</v>
      </c>
      <c r="G7" s="13">
        <f t="shared" ref="G7:G49" si="1">(B7/$B$6)*100</f>
        <v>102.00025815155161</v>
      </c>
      <c r="H7" s="13">
        <f t="shared" ref="H7:H49" si="2">(F7/$F$6)*100</f>
        <v>101.61051955016806</v>
      </c>
      <c r="I7" s="13"/>
      <c r="J7" s="13"/>
      <c r="K7" s="17" t="s">
        <v>14</v>
      </c>
      <c r="L7" s="18">
        <f>B6</f>
        <v>2401.69</v>
      </c>
      <c r="N7" s="80" t="s">
        <v>20</v>
      </c>
      <c r="O7" s="81" cm="1">
        <f t="array" ref="O7">BS_Price("P",L7,L8,L9,L10,L11)</f>
        <v>41.000000000000028</v>
      </c>
      <c r="Q7" s="87" t="s">
        <v>21</v>
      </c>
      <c r="R7" s="86">
        <f>1+O8</f>
        <v>0.82112174140138205</v>
      </c>
      <c r="AI7" s="3">
        <f>AI6+25</f>
        <v>1525</v>
      </c>
      <c r="AJ7" s="3">
        <f t="shared" ref="AJ7:AJ49" si="3">AI7-$AI$4</f>
        <v>-876.69</v>
      </c>
      <c r="AK7" s="16">
        <f t="shared" ref="AK7:AK49" si="4">MAX($AJ$4-AI7,0)-$AK$4</f>
        <v>534</v>
      </c>
      <c r="AL7" s="16">
        <f t="shared" ref="AL7:AL49" si="5">(AI7-$AI$4)+MAX($AJ$4-AI7,0)-$AK$4</f>
        <v>-342.69000000000005</v>
      </c>
    </row>
    <row r="8" spans="1:39">
      <c r="A8" s="4">
        <v>39996</v>
      </c>
      <c r="B8" s="3">
        <v>2369.65</v>
      </c>
      <c r="C8" s="11">
        <v>1.072E-2</v>
      </c>
      <c r="D8" s="6">
        <v>47</v>
      </c>
      <c r="E8" s="12">
        <v>0.35220379957348413</v>
      </c>
      <c r="F8" s="13">
        <f t="shared" si="0"/>
        <v>2416.65</v>
      </c>
      <c r="G8" s="13">
        <f t="shared" si="1"/>
        <v>98.665939401005133</v>
      </c>
      <c r="H8" s="13">
        <f t="shared" si="2"/>
        <v>98.933962148287335</v>
      </c>
      <c r="I8" s="13"/>
      <c r="J8" s="13"/>
      <c r="K8" s="19" t="s">
        <v>1</v>
      </c>
      <c r="L8" s="20">
        <f>D4</f>
        <v>2100</v>
      </c>
      <c r="N8" s="75" t="s">
        <v>21</v>
      </c>
      <c r="O8" s="77" cm="1">
        <f t="array" ref="O8">BS_DELTA("P",L7,L8,L9,L10,L11)</f>
        <v>-0.17887825859861795</v>
      </c>
      <c r="Q8" s="88" t="s">
        <v>22</v>
      </c>
      <c r="R8" s="82">
        <f>O9</f>
        <v>6.6751555146953977E-4</v>
      </c>
      <c r="AI8" s="3">
        <f t="shared" ref="AI8:AI49" si="6">AI7+25</f>
        <v>1550</v>
      </c>
      <c r="AJ8" s="3">
        <f t="shared" si="3"/>
        <v>-851.69</v>
      </c>
      <c r="AK8" s="16">
        <f>MAX($AJ$4-AI8,0)-$AK$4</f>
        <v>509</v>
      </c>
      <c r="AL8" s="16">
        <f t="shared" si="5"/>
        <v>-342.69000000000005</v>
      </c>
    </row>
    <row r="9" spans="1:39">
      <c r="A9" s="4">
        <v>39997</v>
      </c>
      <c r="B9" s="3">
        <v>2376.48</v>
      </c>
      <c r="C9" s="11">
        <v>1.0589999999999999E-2</v>
      </c>
      <c r="D9" s="6">
        <v>47.3</v>
      </c>
      <c r="E9" s="12">
        <v>0.35984708446658598</v>
      </c>
      <c r="F9" s="13">
        <f t="shared" si="0"/>
        <v>2423.7800000000002</v>
      </c>
      <c r="G9" s="13">
        <f t="shared" si="1"/>
        <v>98.950322481252783</v>
      </c>
      <c r="H9" s="13">
        <f t="shared" si="2"/>
        <v>99.225853464827722</v>
      </c>
      <c r="I9" s="13"/>
      <c r="J9" s="13"/>
      <c r="K9" s="19" t="s">
        <v>23</v>
      </c>
      <c r="L9" s="21">
        <f>E6</f>
        <v>0.3482412321814034</v>
      </c>
      <c r="N9" s="75" t="s">
        <v>22</v>
      </c>
      <c r="O9" s="78" cm="1">
        <f t="array" ref="O9">BS_Gamma("P",L7,L8,L9,L10,L11)</f>
        <v>6.6751555146953977E-4</v>
      </c>
      <c r="Q9" s="88" t="s">
        <v>24</v>
      </c>
      <c r="R9" s="83">
        <f>O10</f>
        <v>-0.62546599072892117</v>
      </c>
      <c r="AI9" s="3">
        <f t="shared" si="6"/>
        <v>1575</v>
      </c>
      <c r="AJ9" s="3">
        <f t="shared" si="3"/>
        <v>-826.69</v>
      </c>
      <c r="AK9" s="16">
        <f t="shared" si="4"/>
        <v>484</v>
      </c>
      <c r="AL9" s="16">
        <f t="shared" si="5"/>
        <v>-342.69000000000005</v>
      </c>
    </row>
    <row r="10" spans="1:39">
      <c r="A10" s="4">
        <v>40000</v>
      </c>
      <c r="B10" s="3">
        <v>2343.88</v>
      </c>
      <c r="C10" s="11">
        <v>1.048E-2</v>
      </c>
      <c r="D10" s="6">
        <v>52.5</v>
      </c>
      <c r="E10" s="12">
        <v>0.36151461326878498</v>
      </c>
      <c r="F10" s="13">
        <f t="shared" si="0"/>
        <v>2396.38</v>
      </c>
      <c r="G10" s="13">
        <f t="shared" si="1"/>
        <v>97.592944967918427</v>
      </c>
      <c r="H10" s="13">
        <f t="shared" si="2"/>
        <v>98.104139289062473</v>
      </c>
      <c r="I10" s="13"/>
      <c r="J10" s="13"/>
      <c r="K10" s="19" t="s">
        <v>25</v>
      </c>
      <c r="L10" s="21">
        <f>(D2-A6)/365</f>
        <v>0.21917808219178081</v>
      </c>
      <c r="N10" s="75" t="s">
        <v>24</v>
      </c>
      <c r="O10" s="77" cm="1">
        <f t="array" ref="O10">BS_Theta("P",L7,L8,L9,L10,L11)/365</f>
        <v>-0.62546599072892117</v>
      </c>
      <c r="Q10" s="89" t="s">
        <v>26</v>
      </c>
      <c r="R10" s="84">
        <f>O11</f>
        <v>293.88173901468622</v>
      </c>
      <c r="AI10" s="3">
        <f t="shared" si="6"/>
        <v>1600</v>
      </c>
      <c r="AJ10" s="3">
        <f t="shared" si="3"/>
        <v>-801.69</v>
      </c>
      <c r="AK10" s="16">
        <f t="shared" si="4"/>
        <v>459</v>
      </c>
      <c r="AL10" s="16">
        <f t="shared" si="5"/>
        <v>-342.69000000000005</v>
      </c>
    </row>
    <row r="11" spans="1:39">
      <c r="A11" s="4">
        <v>40001</v>
      </c>
      <c r="B11" s="3">
        <v>2320.9</v>
      </c>
      <c r="C11" s="11">
        <v>1.044E-2</v>
      </c>
      <c r="D11" s="6">
        <v>58.3</v>
      </c>
      <c r="E11" s="12">
        <v>0.36551387667849183</v>
      </c>
      <c r="F11" s="13">
        <f t="shared" si="0"/>
        <v>2379.2000000000003</v>
      </c>
      <c r="G11" s="13">
        <f t="shared" si="1"/>
        <v>96.636118733058808</v>
      </c>
      <c r="H11" s="13">
        <f t="shared" si="2"/>
        <v>97.400816313162949</v>
      </c>
      <c r="I11" s="13"/>
      <c r="J11" s="13"/>
      <c r="K11" s="22" t="s">
        <v>27</v>
      </c>
      <c r="L11" s="23">
        <f>C6</f>
        <v>1.099E-2</v>
      </c>
      <c r="N11" s="76" t="s">
        <v>26</v>
      </c>
      <c r="O11" s="79" cm="1">
        <f t="array" ref="O11">BS_Vega("P",L7,L8,L9,L10,L11)</f>
        <v>293.88173901468622</v>
      </c>
      <c r="R11" s="85"/>
      <c r="AI11" s="3">
        <f t="shared" si="6"/>
        <v>1625</v>
      </c>
      <c r="AJ11" s="3">
        <f t="shared" si="3"/>
        <v>-776.69</v>
      </c>
      <c r="AK11" s="16">
        <f t="shared" si="4"/>
        <v>434</v>
      </c>
      <c r="AL11" s="16">
        <f t="shared" si="5"/>
        <v>-342.69000000000005</v>
      </c>
    </row>
    <row r="12" spans="1:39">
      <c r="A12" s="4">
        <v>40002</v>
      </c>
      <c r="B12" s="3">
        <v>2291.33</v>
      </c>
      <c r="C12" s="11">
        <v>1.0289999999999999E-2</v>
      </c>
      <c r="D12" s="6">
        <v>65.900000000000006</v>
      </c>
      <c r="E12" s="12">
        <v>0.36833843505045988</v>
      </c>
      <c r="F12" s="13">
        <f t="shared" si="0"/>
        <v>2357.23</v>
      </c>
      <c r="G12" s="13">
        <f t="shared" si="1"/>
        <v>95.404902381239879</v>
      </c>
      <c r="H12" s="13">
        <f t="shared" si="2"/>
        <v>96.501398048872346</v>
      </c>
      <c r="I12" s="13"/>
      <c r="J12" s="13"/>
      <c r="K12" s="24"/>
      <c r="L12" s="24"/>
      <c r="Q12" s="25"/>
      <c r="AI12" s="3">
        <f t="shared" si="6"/>
        <v>1650</v>
      </c>
      <c r="AJ12" s="3">
        <f t="shared" si="3"/>
        <v>-751.69</v>
      </c>
      <c r="AK12" s="16">
        <f t="shared" si="4"/>
        <v>409</v>
      </c>
      <c r="AL12" s="16">
        <f t="shared" si="5"/>
        <v>-342.69000000000005</v>
      </c>
    </row>
    <row r="13" spans="1:39">
      <c r="A13" s="4">
        <v>40003</v>
      </c>
      <c r="B13" s="3">
        <v>2313.87</v>
      </c>
      <c r="C13" s="11">
        <v>1.018E-2</v>
      </c>
      <c r="D13" s="6">
        <v>55.5</v>
      </c>
      <c r="E13" s="12">
        <v>0.35629265878330152</v>
      </c>
      <c r="F13" s="13">
        <f t="shared" si="0"/>
        <v>2369.37</v>
      </c>
      <c r="G13" s="13">
        <f t="shared" si="1"/>
        <v>96.343408183404179</v>
      </c>
      <c r="H13" s="13">
        <f t="shared" si="2"/>
        <v>96.998391117988774</v>
      </c>
      <c r="I13" s="13"/>
      <c r="J13" s="13"/>
      <c r="K13" s="24"/>
      <c r="L13" s="25"/>
      <c r="M13" s="25" t="s">
        <v>28</v>
      </c>
      <c r="Q13" s="25"/>
      <c r="V13" s="26" t="s">
        <v>103</v>
      </c>
      <c r="AI13" s="3">
        <f t="shared" si="6"/>
        <v>1675</v>
      </c>
      <c r="AJ13" s="3">
        <f t="shared" si="3"/>
        <v>-726.69</v>
      </c>
      <c r="AK13" s="16">
        <f t="shared" si="4"/>
        <v>384</v>
      </c>
      <c r="AL13" s="16">
        <f t="shared" si="5"/>
        <v>-342.69000000000005</v>
      </c>
    </row>
    <row r="14" spans="1:39" ht="13.2" customHeight="1">
      <c r="A14" s="4">
        <v>40004</v>
      </c>
      <c r="B14" s="3">
        <v>2281.4699999999998</v>
      </c>
      <c r="C14" s="11">
        <v>1.0069999999999999E-2</v>
      </c>
      <c r="D14" s="6">
        <v>61.1</v>
      </c>
      <c r="E14" s="12">
        <v>0.35075921342855004</v>
      </c>
      <c r="F14" s="13">
        <f t="shared" si="0"/>
        <v>2342.5699999999997</v>
      </c>
      <c r="G14" s="13">
        <f t="shared" si="1"/>
        <v>94.994358139476773</v>
      </c>
      <c r="H14" s="13">
        <f t="shared" si="2"/>
        <v>95.901240026364363</v>
      </c>
      <c r="I14" s="13"/>
      <c r="J14" s="13"/>
      <c r="K14" s="24"/>
      <c r="L14" s="24"/>
      <c r="M14" s="140" t="s">
        <v>29</v>
      </c>
      <c r="N14" s="141"/>
      <c r="O14" s="131" t="s">
        <v>30</v>
      </c>
      <c r="P14" s="132"/>
      <c r="Q14" s="132"/>
      <c r="R14" s="132"/>
      <c r="S14" s="132"/>
      <c r="T14" s="132"/>
      <c r="U14" s="133"/>
      <c r="AI14" s="3">
        <f t="shared" si="6"/>
        <v>1700</v>
      </c>
      <c r="AJ14" s="3">
        <f t="shared" si="3"/>
        <v>-701.69</v>
      </c>
      <c r="AK14" s="16">
        <f t="shared" si="4"/>
        <v>359</v>
      </c>
      <c r="AL14" s="16">
        <f t="shared" si="5"/>
        <v>-342.69000000000005</v>
      </c>
    </row>
    <row r="15" spans="1:39">
      <c r="A15" s="4">
        <v>40007</v>
      </c>
      <c r="B15" s="3">
        <v>2345.2199999999998</v>
      </c>
      <c r="C15" s="11">
        <v>9.9600000000000001E-3</v>
      </c>
      <c r="D15" s="6">
        <v>44.5</v>
      </c>
      <c r="E15" s="12">
        <v>0.35301288918090989</v>
      </c>
      <c r="F15" s="13">
        <f t="shared" si="0"/>
        <v>2389.7199999999998</v>
      </c>
      <c r="G15" s="13">
        <f t="shared" si="1"/>
        <v>97.648739012945043</v>
      </c>
      <c r="H15" s="13">
        <f t="shared" si="2"/>
        <v>97.831489055099084</v>
      </c>
      <c r="I15" s="13"/>
      <c r="J15" s="13"/>
      <c r="K15" s="111"/>
      <c r="L15" s="24"/>
      <c r="M15" s="142"/>
      <c r="N15" s="143"/>
      <c r="O15" s="90">
        <v>-0.1</v>
      </c>
      <c r="P15" s="91">
        <v>-0.05</v>
      </c>
      <c r="Q15" s="91">
        <v>-0.01</v>
      </c>
      <c r="R15" s="91">
        <v>0</v>
      </c>
      <c r="S15" s="91">
        <v>0.01</v>
      </c>
      <c r="T15" s="91">
        <v>0.05</v>
      </c>
      <c r="U15" s="92">
        <v>0.1</v>
      </c>
      <c r="AI15" s="3">
        <f t="shared" si="6"/>
        <v>1725</v>
      </c>
      <c r="AJ15" s="3">
        <f t="shared" si="3"/>
        <v>-676.69</v>
      </c>
      <c r="AK15" s="16">
        <f t="shared" si="4"/>
        <v>334</v>
      </c>
      <c r="AL15" s="16">
        <f t="shared" si="5"/>
        <v>-342.69000000000005</v>
      </c>
    </row>
    <row r="16" spans="1:39">
      <c r="A16" s="4">
        <v>40008</v>
      </c>
      <c r="B16" s="3">
        <v>2370.71</v>
      </c>
      <c r="C16" s="11">
        <v>9.8499999999999994E-3</v>
      </c>
      <c r="D16" s="6">
        <v>37.1</v>
      </c>
      <c r="E16" s="12">
        <v>0.34670622416263752</v>
      </c>
      <c r="F16" s="13">
        <f t="shared" si="0"/>
        <v>2407.81</v>
      </c>
      <c r="G16" s="13">
        <f t="shared" si="1"/>
        <v>98.710074988862004</v>
      </c>
      <c r="H16" s="13">
        <f t="shared" si="2"/>
        <v>98.572066041945561</v>
      </c>
      <c r="I16" s="13"/>
      <c r="J16" s="13"/>
      <c r="K16" s="24"/>
      <c r="L16" s="24"/>
      <c r="M16" s="134" t="s">
        <v>31</v>
      </c>
      <c r="N16" s="100">
        <v>-0.1</v>
      </c>
      <c r="O16" s="28">
        <f>$R$7*($L$7*$N16)+0.5*$R$8*($L$7*$N16)^2+$R$10*O$15+$R$9</f>
        <v>-207.97009555727988</v>
      </c>
      <c r="P16" s="29">
        <f t="shared" ref="O16:U22" si="7">$R$7*($L$7*$N16)+0.5*$R$8*($L$7*$N16)^2+$R$10*P$15+$R$9</f>
        <v>-193.27600860654556</v>
      </c>
      <c r="Q16" s="29">
        <f t="shared" si="7"/>
        <v>-181.52073904595809</v>
      </c>
      <c r="R16" s="29">
        <f t="shared" si="7"/>
        <v>-178.58192165581124</v>
      </c>
      <c r="S16" s="29">
        <f t="shared" si="7"/>
        <v>-175.64310426566439</v>
      </c>
      <c r="T16" s="29">
        <f t="shared" si="7"/>
        <v>-163.88783470507693</v>
      </c>
      <c r="U16" s="30">
        <f t="shared" si="7"/>
        <v>-149.19374775434261</v>
      </c>
      <c r="AI16" s="3">
        <f t="shared" si="6"/>
        <v>1750</v>
      </c>
      <c r="AJ16" s="3">
        <f t="shared" si="3"/>
        <v>-651.69000000000005</v>
      </c>
      <c r="AK16" s="16">
        <f t="shared" si="4"/>
        <v>309</v>
      </c>
      <c r="AL16" s="16">
        <f t="shared" si="5"/>
        <v>-342.69000000000005</v>
      </c>
    </row>
    <row r="17" spans="1:38">
      <c r="A17" s="4">
        <v>40009</v>
      </c>
      <c r="B17" s="3">
        <v>2451.02</v>
      </c>
      <c r="C17" s="11">
        <v>9.7900000000000001E-3</v>
      </c>
      <c r="D17" s="6">
        <v>23.7</v>
      </c>
      <c r="E17" s="12">
        <v>0.34448573616434469</v>
      </c>
      <c r="F17" s="13">
        <f t="shared" si="0"/>
        <v>2474.7199999999998</v>
      </c>
      <c r="G17" s="13">
        <f t="shared" si="1"/>
        <v>102.0539703292265</v>
      </c>
      <c r="H17" s="13">
        <f t="shared" si="2"/>
        <v>101.31125930838543</v>
      </c>
      <c r="I17" s="13"/>
      <c r="J17" s="13"/>
      <c r="K17" s="24"/>
      <c r="L17" s="24"/>
      <c r="M17" s="135"/>
      <c r="N17" s="101">
        <v>-0.05</v>
      </c>
      <c r="O17" s="31">
        <f t="shared" si="7"/>
        <v>-123.80475068612526</v>
      </c>
      <c r="P17" s="114">
        <f t="shared" si="7"/>
        <v>-109.11066373539096</v>
      </c>
      <c r="Q17" s="114">
        <f t="shared" si="7"/>
        <v>-97.355394174803507</v>
      </c>
      <c r="R17" s="114">
        <f t="shared" si="7"/>
        <v>-94.416576784656641</v>
      </c>
      <c r="S17" s="114">
        <f t="shared" si="7"/>
        <v>-91.477759394509775</v>
      </c>
      <c r="T17" s="114">
        <f t="shared" si="7"/>
        <v>-79.722489833922324</v>
      </c>
      <c r="U17" s="32">
        <f t="shared" si="7"/>
        <v>-65.028402883188022</v>
      </c>
      <c r="AI17" s="3">
        <f t="shared" si="6"/>
        <v>1775</v>
      </c>
      <c r="AJ17" s="3">
        <f t="shared" si="3"/>
        <v>-626.69000000000005</v>
      </c>
      <c r="AK17" s="16">
        <f t="shared" si="4"/>
        <v>284</v>
      </c>
      <c r="AL17" s="16">
        <f t="shared" si="5"/>
        <v>-342.69000000000005</v>
      </c>
    </row>
    <row r="18" spans="1:38">
      <c r="A18" s="4">
        <v>40010</v>
      </c>
      <c r="B18" s="3">
        <v>2458.9699999999998</v>
      </c>
      <c r="C18" s="11">
        <v>9.689999999999999E-3</v>
      </c>
      <c r="D18" s="6">
        <v>22.2</v>
      </c>
      <c r="E18" s="12">
        <v>0.34457483519442694</v>
      </c>
      <c r="F18" s="13">
        <f t="shared" si="0"/>
        <v>2481.1699999999996</v>
      </c>
      <c r="G18" s="13">
        <f t="shared" si="1"/>
        <v>102.38498723815313</v>
      </c>
      <c r="H18" s="13">
        <f t="shared" si="2"/>
        <v>101.57531246289948</v>
      </c>
      <c r="I18" s="13"/>
      <c r="J18" s="13"/>
      <c r="K18" s="24"/>
      <c r="L18" s="24"/>
      <c r="M18" s="135"/>
      <c r="N18" s="101">
        <v>-0.01</v>
      </c>
      <c r="O18" s="31">
        <f t="shared" si="7"/>
        <v>-49.541923324804934</v>
      </c>
      <c r="P18" s="114">
        <f t="shared" si="7"/>
        <v>-34.847836374070617</v>
      </c>
      <c r="Q18" s="114">
        <f t="shared" si="7"/>
        <v>-23.09256681348317</v>
      </c>
      <c r="R18" s="114">
        <f t="shared" si="7"/>
        <v>-20.153749423336308</v>
      </c>
      <c r="S18" s="114">
        <f t="shared" si="7"/>
        <v>-17.214932033189445</v>
      </c>
      <c r="T18" s="114">
        <f t="shared" si="7"/>
        <v>-5.4596624726019982</v>
      </c>
      <c r="U18" s="32">
        <f t="shared" si="7"/>
        <v>9.234424478132313</v>
      </c>
      <c r="AI18" s="3">
        <f t="shared" si="6"/>
        <v>1800</v>
      </c>
      <c r="AJ18" s="3">
        <f t="shared" si="3"/>
        <v>-601.69000000000005</v>
      </c>
      <c r="AK18" s="16">
        <f t="shared" si="4"/>
        <v>259</v>
      </c>
      <c r="AL18" s="16">
        <f t="shared" si="5"/>
        <v>-342.69000000000005</v>
      </c>
    </row>
    <row r="19" spans="1:38">
      <c r="A19" s="4">
        <v>40011</v>
      </c>
      <c r="B19" s="3">
        <v>2469.1999999999998</v>
      </c>
      <c r="C19" s="11">
        <v>9.5399999999999999E-3</v>
      </c>
      <c r="D19" s="6">
        <v>19.5</v>
      </c>
      <c r="E19" s="12">
        <v>0.33948558816649727</v>
      </c>
      <c r="F19" s="13">
        <f t="shared" si="0"/>
        <v>2488.6999999999998</v>
      </c>
      <c r="G19" s="13">
        <f t="shared" si="1"/>
        <v>102.81093729831909</v>
      </c>
      <c r="H19" s="13">
        <f t="shared" si="2"/>
        <v>101.8835791688671</v>
      </c>
      <c r="I19" s="13"/>
      <c r="J19" s="13"/>
      <c r="K19" s="24"/>
      <c r="L19" s="24"/>
      <c r="M19" s="135"/>
      <c r="N19" s="101">
        <v>0</v>
      </c>
      <c r="O19" s="31">
        <f t="shared" si="7"/>
        <v>-30.013639892197542</v>
      </c>
      <c r="P19" s="114">
        <f t="shared" si="7"/>
        <v>-15.319552941463233</v>
      </c>
      <c r="Q19" s="114">
        <f t="shared" si="7"/>
        <v>-3.5642833808757834</v>
      </c>
      <c r="R19" s="114">
        <f t="shared" si="7"/>
        <v>-0.62546599072892117</v>
      </c>
      <c r="S19" s="114">
        <f t="shared" si="7"/>
        <v>2.3133513994179409</v>
      </c>
      <c r="T19" s="114">
        <f t="shared" si="7"/>
        <v>14.06862096000539</v>
      </c>
      <c r="U19" s="32">
        <f t="shared" si="7"/>
        <v>28.762707910739703</v>
      </c>
      <c r="AI19" s="3">
        <f t="shared" si="6"/>
        <v>1825</v>
      </c>
      <c r="AJ19" s="3">
        <f t="shared" si="3"/>
        <v>-576.69000000000005</v>
      </c>
      <c r="AK19" s="16">
        <f t="shared" si="4"/>
        <v>234</v>
      </c>
      <c r="AL19" s="16">
        <f t="shared" si="5"/>
        <v>-342.69000000000005</v>
      </c>
    </row>
    <row r="20" spans="1:38">
      <c r="A20" s="4">
        <v>40014</v>
      </c>
      <c r="B20" s="3">
        <v>2500.69</v>
      </c>
      <c r="C20" s="11">
        <v>9.4399999999999987E-3</v>
      </c>
      <c r="D20" s="6">
        <v>16.5</v>
      </c>
      <c r="E20" s="12">
        <v>0.34881913240568135</v>
      </c>
      <c r="F20" s="13">
        <f t="shared" si="0"/>
        <v>2517.19</v>
      </c>
      <c r="G20" s="13">
        <f t="shared" si="1"/>
        <v>104.12209735644484</v>
      </c>
      <c r="H20" s="13">
        <f t="shared" si="2"/>
        <v>103.04991628082156</v>
      </c>
      <c r="I20" s="13"/>
      <c r="J20" s="13"/>
      <c r="K20" s="24"/>
      <c r="L20" s="24"/>
      <c r="M20" s="135"/>
      <c r="N20" s="101">
        <v>0.01</v>
      </c>
      <c r="O20" s="31">
        <f t="shared" si="7"/>
        <v>-10.100325822679229</v>
      </c>
      <c r="P20" s="114">
        <f t="shared" si="7"/>
        <v>4.5937611280550819</v>
      </c>
      <c r="Q20" s="114">
        <f t="shared" si="7"/>
        <v>16.349030688642532</v>
      </c>
      <c r="R20" s="114">
        <f t="shared" si="7"/>
        <v>19.287848078789395</v>
      </c>
      <c r="S20" s="114">
        <f t="shared" si="7"/>
        <v>22.226665468936257</v>
      </c>
      <c r="T20" s="114">
        <f t="shared" si="7"/>
        <v>33.981935029523704</v>
      </c>
      <c r="U20" s="32">
        <f t="shared" si="7"/>
        <v>48.676021980258021</v>
      </c>
      <c r="AI20" s="3">
        <f t="shared" si="6"/>
        <v>1850</v>
      </c>
      <c r="AJ20" s="3">
        <f t="shared" si="3"/>
        <v>-551.69000000000005</v>
      </c>
      <c r="AK20" s="16">
        <f t="shared" si="4"/>
        <v>209</v>
      </c>
      <c r="AL20" s="16">
        <f t="shared" si="5"/>
        <v>-342.69000000000005</v>
      </c>
    </row>
    <row r="21" spans="1:38" ht="16.95" customHeight="1">
      <c r="A21" s="4">
        <v>40015</v>
      </c>
      <c r="B21" s="3">
        <v>2519.9899999999998</v>
      </c>
      <c r="C21" s="11">
        <v>9.3699999999999999E-3</v>
      </c>
      <c r="D21" s="6">
        <v>14.6</v>
      </c>
      <c r="E21" s="12">
        <v>0.35061953723934824</v>
      </c>
      <c r="F21" s="13">
        <f t="shared" si="0"/>
        <v>2534.5899999999997</v>
      </c>
      <c r="G21" s="13">
        <f t="shared" si="1"/>
        <v>104.92569815421639</v>
      </c>
      <c r="H21" s="13">
        <f t="shared" si="2"/>
        <v>103.76224572090604</v>
      </c>
      <c r="I21" s="13"/>
      <c r="J21" s="13"/>
      <c r="K21" s="24"/>
      <c r="L21" s="24"/>
      <c r="M21" s="135"/>
      <c r="N21" s="101">
        <v>0.05</v>
      </c>
      <c r="O21" s="31">
        <f t="shared" si="7"/>
        <v>73.403236824503267</v>
      </c>
      <c r="P21" s="114">
        <f t="shared" si="7"/>
        <v>88.09732377523757</v>
      </c>
      <c r="Q21" s="114">
        <f t="shared" si="7"/>
        <v>99.85259333582502</v>
      </c>
      <c r="R21" s="114">
        <f t="shared" si="7"/>
        <v>102.79141072597189</v>
      </c>
      <c r="S21" s="114">
        <f t="shared" si="7"/>
        <v>105.73022811611875</v>
      </c>
      <c r="T21" s="114">
        <f t="shared" si="7"/>
        <v>117.4854976767062</v>
      </c>
      <c r="U21" s="32">
        <f t="shared" si="7"/>
        <v>132.17958462744053</v>
      </c>
      <c r="AI21" s="3">
        <f t="shared" si="6"/>
        <v>1875</v>
      </c>
      <c r="AJ21" s="3">
        <f t="shared" si="3"/>
        <v>-526.69000000000005</v>
      </c>
      <c r="AK21" s="16">
        <f t="shared" si="4"/>
        <v>184</v>
      </c>
      <c r="AL21" s="16">
        <f t="shared" si="5"/>
        <v>-342.69000000000005</v>
      </c>
    </row>
    <row r="22" spans="1:38">
      <c r="A22" s="4">
        <v>40016</v>
      </c>
      <c r="B22" s="3">
        <v>2528.85</v>
      </c>
      <c r="C22" s="11">
        <v>9.3299999999999998E-3</v>
      </c>
      <c r="D22" s="6">
        <v>14</v>
      </c>
      <c r="E22" s="12">
        <v>0.35446092107140453</v>
      </c>
      <c r="F22" s="13">
        <f t="shared" si="0"/>
        <v>2542.85</v>
      </c>
      <c r="G22" s="13">
        <f t="shared" si="1"/>
        <v>105.2946050489447</v>
      </c>
      <c r="H22" s="13">
        <f t="shared" si="2"/>
        <v>104.10039751257834</v>
      </c>
      <c r="I22" s="13"/>
      <c r="J22" s="13"/>
      <c r="K22" s="24"/>
      <c r="L22" s="24"/>
      <c r="M22" s="136"/>
      <c r="N22" s="102">
        <v>0.1</v>
      </c>
      <c r="O22" s="33">
        <f t="shared" si="7"/>
        <v>186.44587946397718</v>
      </c>
      <c r="P22" s="34">
        <f t="shared" si="7"/>
        <v>201.13996641471149</v>
      </c>
      <c r="Q22" s="34">
        <f t="shared" si="7"/>
        <v>212.89523597529896</v>
      </c>
      <c r="R22" s="34">
        <f t="shared" si="7"/>
        <v>215.83405336544581</v>
      </c>
      <c r="S22" s="34">
        <f t="shared" si="7"/>
        <v>218.77287075559266</v>
      </c>
      <c r="T22" s="34">
        <f t="shared" si="7"/>
        <v>230.52814031618013</v>
      </c>
      <c r="U22" s="35">
        <f>$R$7*($L$7*$N22)+0.5*$R$8*($L$7*$N22)^2+$R$10*U$15+$R$9</f>
        <v>245.22222726691444</v>
      </c>
      <c r="AI22" s="3">
        <f t="shared" si="6"/>
        <v>1900</v>
      </c>
      <c r="AJ22" s="3">
        <f t="shared" si="3"/>
        <v>-501.69000000000005</v>
      </c>
      <c r="AK22" s="16">
        <f t="shared" si="4"/>
        <v>159</v>
      </c>
      <c r="AL22" s="16">
        <f t="shared" si="5"/>
        <v>-342.69000000000005</v>
      </c>
    </row>
    <row r="23" spans="1:38">
      <c r="A23" s="4">
        <v>40017</v>
      </c>
      <c r="B23" s="3">
        <v>2585.79</v>
      </c>
      <c r="C23" s="11">
        <v>9.2700000000000005E-3</v>
      </c>
      <c r="D23" s="6">
        <v>9.3000000000000007</v>
      </c>
      <c r="E23" s="12">
        <v>0.35166765117482168</v>
      </c>
      <c r="F23" s="13">
        <f t="shared" si="0"/>
        <v>2595.09</v>
      </c>
      <c r="G23" s="13">
        <f t="shared" si="1"/>
        <v>107.665435589106</v>
      </c>
      <c r="H23" s="13">
        <f t="shared" si="2"/>
        <v>106.23902337177455</v>
      </c>
      <c r="I23" s="13"/>
      <c r="J23" s="13"/>
      <c r="K23" s="24"/>
      <c r="L23" s="24"/>
      <c r="AI23" s="3">
        <f t="shared" si="6"/>
        <v>1925</v>
      </c>
      <c r="AJ23" s="3">
        <f t="shared" si="3"/>
        <v>-476.69000000000005</v>
      </c>
      <c r="AK23" s="16">
        <f t="shared" si="4"/>
        <v>134</v>
      </c>
      <c r="AL23" s="16">
        <f t="shared" si="5"/>
        <v>-342.69000000000005</v>
      </c>
    </row>
    <row r="24" spans="1:38">
      <c r="A24" s="4">
        <v>40018</v>
      </c>
      <c r="B24" s="3">
        <v>2582.7600000000002</v>
      </c>
      <c r="C24" s="11">
        <v>9.2100000000000012E-3</v>
      </c>
      <c r="D24" s="6">
        <v>9.9</v>
      </c>
      <c r="E24" s="12">
        <v>0.35830891611044402</v>
      </c>
      <c r="F24" s="13">
        <f t="shared" si="0"/>
        <v>2592.6600000000003</v>
      </c>
      <c r="G24" s="13">
        <f t="shared" si="1"/>
        <v>107.53927442759057</v>
      </c>
      <c r="H24" s="13">
        <f t="shared" si="2"/>
        <v>106.13954288100416</v>
      </c>
      <c r="I24" s="13"/>
      <c r="J24" s="13"/>
      <c r="K24" s="24"/>
      <c r="L24" s="36"/>
      <c r="M24" s="36" t="s">
        <v>32</v>
      </c>
      <c r="V24" s="26" t="s">
        <v>33</v>
      </c>
      <c r="AI24" s="3">
        <f t="shared" si="6"/>
        <v>1950</v>
      </c>
      <c r="AJ24" s="3">
        <f t="shared" si="3"/>
        <v>-451.69000000000005</v>
      </c>
      <c r="AK24" s="16">
        <f t="shared" si="4"/>
        <v>109</v>
      </c>
      <c r="AL24" s="16">
        <f t="shared" si="5"/>
        <v>-342.69000000000005</v>
      </c>
    </row>
    <row r="25" spans="1:38">
      <c r="A25" s="4">
        <v>40021</v>
      </c>
      <c r="B25" s="3">
        <v>2601.41</v>
      </c>
      <c r="C25" s="11">
        <v>9.1400000000000006E-3</v>
      </c>
      <c r="D25" s="6">
        <v>9</v>
      </c>
      <c r="E25" s="12">
        <v>0.36968909052708099</v>
      </c>
      <c r="F25" s="13">
        <f t="shared" si="0"/>
        <v>2610.41</v>
      </c>
      <c r="G25" s="13">
        <f t="shared" si="1"/>
        <v>108.31581094978951</v>
      </c>
      <c r="H25" s="13">
        <f t="shared" si="2"/>
        <v>106.86620078683747</v>
      </c>
      <c r="I25" s="13"/>
      <c r="J25" s="13"/>
      <c r="K25" s="24"/>
      <c r="L25" s="24"/>
      <c r="M25" s="140" t="s">
        <v>29</v>
      </c>
      <c r="N25" s="141"/>
      <c r="O25" s="131" t="s">
        <v>30</v>
      </c>
      <c r="P25" s="132"/>
      <c r="Q25" s="132"/>
      <c r="R25" s="132"/>
      <c r="S25" s="132"/>
      <c r="T25" s="132"/>
      <c r="U25" s="133"/>
      <c r="AI25" s="3">
        <f>AI24+25</f>
        <v>1975</v>
      </c>
      <c r="AJ25" s="3">
        <f t="shared" si="3"/>
        <v>-426.69000000000005</v>
      </c>
      <c r="AK25" s="16">
        <f t="shared" si="4"/>
        <v>84</v>
      </c>
      <c r="AL25" s="16">
        <f t="shared" si="5"/>
        <v>-342.69000000000005</v>
      </c>
    </row>
    <row r="26" spans="1:38">
      <c r="A26" s="4">
        <v>40022</v>
      </c>
      <c r="B26" s="3">
        <v>2573.08</v>
      </c>
      <c r="C26" s="11">
        <v>9.0799999999999995E-3</v>
      </c>
      <c r="D26" s="6">
        <v>10</v>
      </c>
      <c r="E26" s="12">
        <v>0.36749648268388113</v>
      </c>
      <c r="F26" s="13">
        <f t="shared" si="0"/>
        <v>2583.08</v>
      </c>
      <c r="G26" s="13">
        <f t="shared" si="1"/>
        <v>107.13622490829373</v>
      </c>
      <c r="H26" s="13">
        <f t="shared" si="2"/>
        <v>105.74735230422199</v>
      </c>
      <c r="I26" s="13"/>
      <c r="J26" s="13"/>
      <c r="K26" s="24"/>
      <c r="L26" s="24"/>
      <c r="M26" s="142"/>
      <c r="N26" s="144"/>
      <c r="O26" s="100">
        <v>-0.1</v>
      </c>
      <c r="P26" s="103">
        <v>-0.05</v>
      </c>
      <c r="Q26" s="103">
        <v>-0.01</v>
      </c>
      <c r="R26" s="103">
        <v>0</v>
      </c>
      <c r="S26" s="103">
        <v>0.01</v>
      </c>
      <c r="T26" s="103">
        <v>0.05</v>
      </c>
      <c r="U26" s="104">
        <v>0.1</v>
      </c>
      <c r="AI26" s="3">
        <f t="shared" si="6"/>
        <v>2000</v>
      </c>
      <c r="AJ26" s="3">
        <f t="shared" si="3"/>
        <v>-401.69000000000005</v>
      </c>
      <c r="AK26" s="16">
        <f t="shared" si="4"/>
        <v>59</v>
      </c>
      <c r="AL26" s="16">
        <f t="shared" si="5"/>
        <v>-342.69000000000005</v>
      </c>
    </row>
    <row r="27" spans="1:38">
      <c r="A27" s="4">
        <v>40023</v>
      </c>
      <c r="B27" s="3">
        <v>2600.31</v>
      </c>
      <c r="C27" s="11">
        <v>9.0299999999999998E-3</v>
      </c>
      <c r="D27" s="6">
        <v>8.6</v>
      </c>
      <c r="E27" s="12">
        <v>0.37247030192903946</v>
      </c>
      <c r="F27" s="13">
        <f t="shared" si="0"/>
        <v>2608.91</v>
      </c>
      <c r="G27" s="13">
        <f t="shared" si="1"/>
        <v>108.27000986805125</v>
      </c>
      <c r="H27" s="13">
        <f t="shared" si="2"/>
        <v>106.80479307648534</v>
      </c>
      <c r="I27" s="13"/>
      <c r="J27" s="13"/>
      <c r="K27" s="24"/>
      <c r="L27" s="24"/>
      <c r="M27" s="137" t="s">
        <v>31</v>
      </c>
      <c r="N27" s="100">
        <v>-0.1</v>
      </c>
      <c r="O27" s="28" cm="1">
        <f t="array" ref="O27">($L$7*(1+$N27)-$L$7)+(BS_Price("P",$L$7*(1+$N27),$L$8,$L$9+O$26,$L$10-1/365,$L$11)-$O$7)</f>
        <v>-212.85946594734267</v>
      </c>
      <c r="P27" s="29" cm="1">
        <f t="array" ref="P27">($L$7*(1+$N27)-$L$7)+(BS_Price("P",$L$7*(1+$N27),$L$8,$L$9+P$26,$L$10-1/365,$L$11)-$O$7)</f>
        <v>-193.74308004546418</v>
      </c>
      <c r="Q27" s="29" cm="1">
        <f t="array" ref="Q27">($L$7*(1+$N27)-$L$7)+(BS_Price("P",$L$7*(1+$N27),$L$8,$L$9+Q$26,$L$10-1/365,$L$11)-$O$7)</f>
        <v>-178.3365658656592</v>
      </c>
      <c r="R27" s="29" cm="1">
        <f t="array" ref="R27">($L$7*(1+$N27)-$L$7)+(BS_Price("P",$L$7*(1+$N27),$L$8,$L$9+R$26,$L$10-1/365,$L$11)-$O$7)</f>
        <v>-174.47426651450263</v>
      </c>
      <c r="S27" s="29" cm="1">
        <f t="array" ref="S27">($L$7*(1+$N27)-$L$7)+(BS_Price("P",$L$7*(1+$N27),$L$8,$L$9+S$26,$L$10-1/365,$L$11)-$O$7)</f>
        <v>-170.60856275514129</v>
      </c>
      <c r="T27" s="29" cm="1">
        <f t="array" ref="T27">($L$7*(1+$N27)-$L$7)+(BS_Price("P",$L$7*(1+$N27),$L$8,$L$9+T$26,$L$10-1/365,$L$11)-$O$7)</f>
        <v>-155.11830762228882</v>
      </c>
      <c r="U27" s="30" cm="1">
        <f t="array" ref="U27">($L$7*(1+$N27)-$L$7)+(BS_Price("P",$L$7*(1+$N27),$L$8,$L$9+U$26,$L$10-1/365,$L$11)-$O$7)</f>
        <v>-135.71288673361832</v>
      </c>
      <c r="AI27" s="3">
        <f t="shared" si="6"/>
        <v>2025</v>
      </c>
      <c r="AJ27" s="3">
        <f t="shared" si="3"/>
        <v>-376.69000000000005</v>
      </c>
      <c r="AK27" s="16">
        <f t="shared" si="4"/>
        <v>34</v>
      </c>
      <c r="AL27" s="16">
        <f t="shared" si="5"/>
        <v>-342.69000000000005</v>
      </c>
    </row>
    <row r="28" spans="1:38">
      <c r="A28" s="4">
        <v>40024</v>
      </c>
      <c r="B28" s="3">
        <v>2654.74</v>
      </c>
      <c r="C28" s="11">
        <v>8.9899999999999997E-3</v>
      </c>
      <c r="D28" s="6">
        <v>6.3</v>
      </c>
      <c r="E28" s="12">
        <v>0.37846690584708031</v>
      </c>
      <c r="F28" s="13">
        <f t="shared" si="0"/>
        <v>2661.04</v>
      </c>
      <c r="G28" s="13">
        <f t="shared" si="1"/>
        <v>110.5363306671552</v>
      </c>
      <c r="H28" s="13">
        <f t="shared" si="2"/>
        <v>108.93891570358906</v>
      </c>
      <c r="I28" s="13"/>
      <c r="J28" s="13"/>
      <c r="K28" s="24"/>
      <c r="L28" s="24"/>
      <c r="M28" s="138"/>
      <c r="N28" s="101">
        <v>-0.05</v>
      </c>
      <c r="O28" s="31" cm="1">
        <f t="array" ref="O28">($L$7*(1+$N28)-$L$7)+(BS_Price("P",$L$7*(1+$N28),$L$8,$L$9+O$26,$L$10-1/365,$L$11)-$O$7)</f>
        <v>-127.3507116932219</v>
      </c>
      <c r="P28" s="114" cm="1">
        <f t="array" ref="P28">($L$7*(1+$N28)-$L$7)+(BS_Price("P",$L$7*(1+$N28),$L$8,$L$9+P$26,$L$10-1/365,$L$11)-$O$7)</f>
        <v>-111.21244558619333</v>
      </c>
      <c r="Q28" s="114" cm="1">
        <f t="array" ref="Q28">($L$7*(1+$N28)-$L$7)+(BS_Price("P",$L$7*(1+$N28),$L$8,$L$9+Q$26,$L$10-1/365,$L$11)-$O$7)</f>
        <v>-97.510237179665296</v>
      </c>
      <c r="R28" s="114" cm="1">
        <f t="array" ref="R28">($L$7*(1+$N28)-$L$7)+(BS_Price("P",$L$7*(1+$N28),$L$8,$L$9+R$26,$L$10-1/365,$L$11)-$O$7)</f>
        <v>-94.003501124372562</v>
      </c>
      <c r="S28" s="114" cm="1">
        <f t="array" ref="S28">($L$7*(1+$N28)-$L$7)+(BS_Price("P",$L$7*(1+$N28),$L$8,$L$9+S$26,$L$10-1/365,$L$11)-$O$7)</f>
        <v>-90.469370118172662</v>
      </c>
      <c r="T28" s="114" cm="1">
        <f t="array" ref="T28">($L$7*(1+$N28)-$L$7)+(BS_Price("P",$L$7*(1+$N28),$L$8,$L$9+T$26,$L$10-1/365,$L$11)-$O$7)</f>
        <v>-76.098402722799491</v>
      </c>
      <c r="U28" s="32" cm="1">
        <f t="array" ref="U28">($L$7*(1+$N28)-$L$7)+(BS_Price("P",$L$7*(1+$N28),$L$8,$L$9+U$26,$L$10-1/365,$L$11)-$O$7)</f>
        <v>-57.722546152564576</v>
      </c>
      <c r="AI28" s="3">
        <f t="shared" si="6"/>
        <v>2050</v>
      </c>
      <c r="AJ28" s="3">
        <f t="shared" si="3"/>
        <v>-351.69000000000005</v>
      </c>
      <c r="AK28" s="16">
        <f t="shared" si="4"/>
        <v>9</v>
      </c>
      <c r="AL28" s="16">
        <f t="shared" si="5"/>
        <v>-342.69000000000005</v>
      </c>
    </row>
    <row r="29" spans="1:38">
      <c r="A29" s="4">
        <v>40025</v>
      </c>
      <c r="B29" s="3">
        <v>2638.13</v>
      </c>
      <c r="C29" s="11">
        <v>8.9300000000000004E-3</v>
      </c>
      <c r="D29" s="6">
        <v>7.4</v>
      </c>
      <c r="E29" s="12">
        <v>0.38670793652228325</v>
      </c>
      <c r="F29" s="13">
        <f t="shared" si="0"/>
        <v>2645.53</v>
      </c>
      <c r="G29" s="13">
        <f t="shared" si="1"/>
        <v>109.84473433290725</v>
      </c>
      <c r="H29" s="13">
        <f t="shared" si="2"/>
        <v>108.30395997854825</v>
      </c>
      <c r="I29" s="13"/>
      <c r="J29" s="13"/>
      <c r="K29" s="24"/>
      <c r="L29" s="24"/>
      <c r="M29" s="138"/>
      <c r="N29" s="101">
        <v>-0.01</v>
      </c>
      <c r="O29" s="31" cm="1">
        <f t="array" ref="O29">($L$7*(1+$N29)-$L$7)+(BS_Price("P",$L$7*(1+$N29),$L$8,$L$9+O$26,$L$10-1/365,$L$11)-$O$7)</f>
        <v>-47.205071348449678</v>
      </c>
      <c r="P29" s="114" cm="1">
        <f t="array" ref="P29">($L$7*(1+$N29)-$L$7)+(BS_Price("P",$L$7*(1+$N29),$L$8,$L$9+P$26,$L$10-1/365,$L$11)-$O$7)</f>
        <v>-34.648475292018517</v>
      </c>
      <c r="Q29" s="114" cm="1">
        <f t="array" ref="Q29">($L$7*(1+$N29)-$L$7)+(BS_Price("P",$L$7*(1+$N29),$L$8,$L$9+Q$26,$L$10-1/365,$L$11)-$O$7)</f>
        <v>-23.194491290194094</v>
      </c>
      <c r="R29" s="114" cm="1">
        <f t="array" ref="R29">($L$7*(1+$N29)-$L$7)+(BS_Price("P",$L$7*(1+$N29),$L$8,$L$9+R$26,$L$10-1/365,$L$11)-$O$7)</f>
        <v>-20.178492037119504</v>
      </c>
      <c r="S29" s="114" cm="1">
        <f t="array" ref="S29">($L$7*(1+$N29)-$L$7)+(BS_Price("P",$L$7*(1+$N29),$L$8,$L$9+S$26,$L$10-1/365,$L$11)-$O$7)</f>
        <v>-17.109714043382837</v>
      </c>
      <c r="T29" s="114" cm="1">
        <f t="array" ref="T29">($L$7*(1+$N29)-$L$7)+(BS_Price("P",$L$7*(1+$N29),$L$8,$L$9+T$26,$L$10-1/365,$L$11)-$O$7)</f>
        <v>-4.3737836481690806</v>
      </c>
      <c r="U29" s="32" cm="1">
        <f t="array" ref="U29">($L$7*(1+$N29)-$L$7)+(BS_Price("P",$L$7*(1+$N29),$L$8,$L$9+U$26,$L$10-1/365,$L$11)-$O$7)</f>
        <v>12.380359258016526</v>
      </c>
      <c r="AI29" s="3">
        <f t="shared" si="6"/>
        <v>2075</v>
      </c>
      <c r="AJ29" s="3">
        <f t="shared" si="3"/>
        <v>-326.69000000000005</v>
      </c>
      <c r="AK29" s="16">
        <f t="shared" si="4"/>
        <v>-16</v>
      </c>
      <c r="AL29" s="16">
        <f t="shared" si="5"/>
        <v>-342.69000000000005</v>
      </c>
    </row>
    <row r="30" spans="1:38">
      <c r="A30" s="4">
        <v>40028</v>
      </c>
      <c r="B30" s="3">
        <v>2674.07</v>
      </c>
      <c r="C30" s="11">
        <v>8.8599999999999998E-3</v>
      </c>
      <c r="D30" s="6">
        <v>6.1</v>
      </c>
      <c r="E30" s="12">
        <v>0.40134615176668509</v>
      </c>
      <c r="F30" s="13">
        <f t="shared" si="0"/>
        <v>2680.17</v>
      </c>
      <c r="G30" s="13">
        <f t="shared" si="1"/>
        <v>111.34118058533782</v>
      </c>
      <c r="H30" s="13">
        <f t="shared" si="2"/>
        <v>109.72206870294634</v>
      </c>
      <c r="I30" s="13"/>
      <c r="J30" s="13"/>
      <c r="K30" s="24"/>
      <c r="L30" s="24"/>
      <c r="M30" s="138"/>
      <c r="N30" s="101">
        <v>0</v>
      </c>
      <c r="O30" s="31" cm="1">
        <f t="array" ref="O30">($L$7*(1+$N30)-$L$7)+(BS_Price("P",$L$7*(1+$N30),$L$8,$L$9+O$26,$L$10-1/365,$L$11)-$O$7)</f>
        <v>-25.966533786450498</v>
      </c>
      <c r="P30" s="114" cm="1">
        <f t="array" ref="P30">($L$7*(1+$N30)-$L$7)+(BS_Price("P",$L$7*(1+$N30),$L$8,$L$9+P$26,$L$10-1/365,$L$11)-$O$7)</f>
        <v>-14.340617639615406</v>
      </c>
      <c r="Q30" s="114" cm="1">
        <f t="array" ref="Q30">($L$7*(1+$N30)-$L$7)+(BS_Price("P",$L$7*(1+$N30),$L$8,$L$9+Q$26,$L$10-1/365,$L$11)-$O$7)</f>
        <v>-3.5041514692385292</v>
      </c>
      <c r="R30" s="114" cm="1">
        <f t="array" ref="R30">($L$7*(1+$N30)-$L$7)+(BS_Price("P",$L$7*(1+$N30),$L$8,$L$9+R$26,$L$10-1/365,$L$11)-$O$7)</f>
        <v>-0.62617836112629988</v>
      </c>
      <c r="S30" s="114" cm="1">
        <f t="array" ref="S30">($L$7*(1+$N30)-$L$7)+(BS_Price("P",$L$7*(1+$N30),$L$8,$L$9+S$26,$L$10-1/365,$L$11)-$O$7)</f>
        <v>2.3106488100418545</v>
      </c>
      <c r="T30" s="114" cm="1">
        <f t="array" ref="T30">($L$7*(1+$N30)-$L$7)+(BS_Price("P",$L$7*(1+$N30),$L$8,$L$9+T$26,$L$10-1/365,$L$11)-$O$7)</f>
        <v>14.574635788414213</v>
      </c>
      <c r="U30" s="32" cm="1">
        <f t="array" ref="U30">($L$7*(1+$N30)-$L$7)+(BS_Price("P",$L$7*(1+$N30),$L$8,$L$9+U$26,$L$10-1/365,$L$11)-$O$7)</f>
        <v>30.847122659411525</v>
      </c>
      <c r="AI30" s="3">
        <f t="shared" si="6"/>
        <v>2100</v>
      </c>
      <c r="AJ30" s="3">
        <f t="shared" si="3"/>
        <v>-301.69000000000005</v>
      </c>
      <c r="AK30" s="16">
        <f t="shared" si="4"/>
        <v>-41</v>
      </c>
      <c r="AL30" s="16">
        <f t="shared" si="5"/>
        <v>-342.69000000000005</v>
      </c>
    </row>
    <row r="31" spans="1:38">
      <c r="A31" s="4">
        <v>40029</v>
      </c>
      <c r="B31" s="3">
        <v>2670.96</v>
      </c>
      <c r="C31" s="11">
        <v>8.8400000000000006E-3</v>
      </c>
      <c r="D31" s="6">
        <v>5.7</v>
      </c>
      <c r="E31" s="12">
        <v>0.39897231749810802</v>
      </c>
      <c r="F31" s="13">
        <f t="shared" si="0"/>
        <v>2676.66</v>
      </c>
      <c r="G31" s="13">
        <f t="shared" si="1"/>
        <v>111.2116884360596</v>
      </c>
      <c r="H31" s="13">
        <f t="shared" si="2"/>
        <v>109.5783746607224</v>
      </c>
      <c r="I31" s="13"/>
      <c r="J31" s="13"/>
      <c r="K31" s="24"/>
      <c r="L31" s="24"/>
      <c r="M31" s="138"/>
      <c r="N31" s="101">
        <v>0.01</v>
      </c>
      <c r="O31" s="31" cm="1">
        <f t="array" ref="O31">($L$7*(1+$N31)-$L$7)+(BS_Price("P",$L$7*(1+$N31),$L$8,$L$9+O$26,$L$10-1/365,$L$11)-$O$7)</f>
        <v>-4.3434805518995745</v>
      </c>
      <c r="P31" s="114" cm="1">
        <f t="array" ref="P31">($L$7*(1+$N31)-$L$7)+(BS_Price("P",$L$7*(1+$N31),$L$8,$L$9+P$26,$L$10-1/365,$L$11)-$O$7)</f>
        <v>6.3635920236615497</v>
      </c>
      <c r="Q31" s="114" cm="1">
        <f t="array" ref="Q31">($L$7*(1+$N31)-$L$7)+(BS_Price("P",$L$7*(1+$N31),$L$8,$L$9+Q$26,$L$10-1/365,$L$11)-$O$7)</f>
        <v>16.575157875196631</v>
      </c>
      <c r="R31" s="114" cm="1">
        <f t="array" ref="R31">($L$7*(1+$N31)-$L$7)+(BS_Price("P",$L$7*(1+$N31),$L$8,$L$9+R$26,$L$10-1/365,$L$11)-$O$7)</f>
        <v>19.312002200134046</v>
      </c>
      <c r="S31" s="114" cm="1">
        <f t="array" ref="S31">($L$7*(1+$N31)-$L$7)+(BS_Price("P",$L$7*(1+$N31),$L$8,$L$9+S$26,$L$10-1/365,$L$11)-$O$7)</f>
        <v>22.113441448236998</v>
      </c>
      <c r="T31" s="114" cm="1">
        <f t="array" ref="T31">($L$7*(1+$N31)-$L$7)+(BS_Price("P",$L$7*(1+$N31),$L$8,$L$9+T$26,$L$10-1/365,$L$11)-$O$7)</f>
        <v>33.889529759526376</v>
      </c>
      <c r="U31" s="32" cm="1">
        <f t="array" ref="U31">($L$7*(1+$N31)-$L$7)+(BS_Price("P",$L$7*(1+$N31),$L$8,$L$9+U$26,$L$10-1/365,$L$11)-$O$7)</f>
        <v>49.658267531083808</v>
      </c>
      <c r="AI31" s="3">
        <f t="shared" si="6"/>
        <v>2125</v>
      </c>
      <c r="AJ31" s="3">
        <f t="shared" si="3"/>
        <v>-276.69000000000005</v>
      </c>
      <c r="AK31" s="16">
        <f t="shared" si="4"/>
        <v>-41</v>
      </c>
      <c r="AL31" s="16">
        <f t="shared" si="5"/>
        <v>-317.69000000000005</v>
      </c>
    </row>
    <row r="32" spans="1:38">
      <c r="A32" s="4">
        <v>40030</v>
      </c>
      <c r="B32" s="3">
        <v>2643.13</v>
      </c>
      <c r="C32" s="11">
        <v>8.8400000000000006E-3</v>
      </c>
      <c r="D32" s="6">
        <v>5.5</v>
      </c>
      <c r="E32" s="12">
        <v>0.3869663635121805</v>
      </c>
      <c r="F32" s="13">
        <f t="shared" si="0"/>
        <v>2648.63</v>
      </c>
      <c r="G32" s="13">
        <f t="shared" si="1"/>
        <v>110.05292106808122</v>
      </c>
      <c r="H32" s="13">
        <f t="shared" si="2"/>
        <v>108.43086924660928</v>
      </c>
      <c r="I32" s="13"/>
      <c r="J32" s="13"/>
      <c r="K32" s="24"/>
      <c r="L32" s="24"/>
      <c r="M32" s="138"/>
      <c r="N32" s="101">
        <v>0.05</v>
      </c>
      <c r="O32" s="31" cm="1">
        <f t="array" ref="O32">($L$7*(1+$N32)-$L$7)+(BS_Price("P",$L$7*(1+$N32),$L$8,$L$9+O$26,$L$10-1/365,$L$11)-$O$7)</f>
        <v>85.16878812598884</v>
      </c>
      <c r="P32" s="114" cm="1">
        <f t="array" ref="P32">($L$7*(1+$N32)-$L$7)+(BS_Price("P",$L$7*(1+$N32),$L$8,$L$9+P$26,$L$10-1/365,$L$11)-$O$7)</f>
        <v>92.498253733519974</v>
      </c>
      <c r="Q32" s="114" cm="1">
        <f t="array" ref="Q32">($L$7*(1+$N32)-$L$7)+(BS_Price("P",$L$7*(1+$N32),$L$8,$L$9+Q$26,$L$10-1/365,$L$11)-$O$7)</f>
        <v>100.25578373613868</v>
      </c>
      <c r="R32" s="114" cm="1">
        <f t="array" ref="R32">($L$7*(1+$N32)-$L$7)+(BS_Price("P",$L$7*(1+$N32),$L$8,$L$9+R$26,$L$10-1/365,$L$11)-$O$7)</f>
        <v>102.42288620469142</v>
      </c>
      <c r="S32" s="114" cm="1">
        <f t="array" ref="S32">($L$7*(1+$N32)-$L$7)+(BS_Price("P",$L$7*(1+$N32),$L$8,$L$9+S$26,$L$10-1/365,$L$11)-$O$7)</f>
        <v>104.6726608698788</v>
      </c>
      <c r="T32" s="114" cm="1">
        <f t="array" ref="T32">($L$7*(1+$N32)-$L$7)+(BS_Price("P",$L$7*(1+$N32),$L$8,$L$9+T$26,$L$10-1/365,$L$11)-$O$7)</f>
        <v>114.42064676993618</v>
      </c>
      <c r="U32" s="32" cm="1">
        <f t="array" ref="U32">($L$7*(1+$N32)-$L$7)+(BS_Price("P",$L$7*(1+$N32),$L$8,$L$9+U$26,$L$10-1/365,$L$11)-$O$7)</f>
        <v>128.03148921441348</v>
      </c>
      <c r="AI32" s="3">
        <f t="shared" si="6"/>
        <v>2150</v>
      </c>
      <c r="AJ32" s="3">
        <f t="shared" si="3"/>
        <v>-251.69000000000005</v>
      </c>
      <c r="AK32" s="16">
        <f t="shared" si="4"/>
        <v>-41</v>
      </c>
      <c r="AL32" s="16">
        <f t="shared" si="5"/>
        <v>-292.69000000000005</v>
      </c>
    </row>
    <row r="33" spans="1:38">
      <c r="A33" s="4">
        <v>40031</v>
      </c>
      <c r="B33" s="3">
        <v>2662.01</v>
      </c>
      <c r="C33" s="11">
        <v>8.8299999999999993E-3</v>
      </c>
      <c r="D33" s="6">
        <v>4.4000000000000004</v>
      </c>
      <c r="E33" s="12">
        <v>0.38463724604798066</v>
      </c>
      <c r="F33" s="13">
        <f t="shared" si="0"/>
        <v>2666.4100000000003</v>
      </c>
      <c r="G33" s="13">
        <f t="shared" si="1"/>
        <v>110.8390341800982</v>
      </c>
      <c r="H33" s="13">
        <f t="shared" si="2"/>
        <v>109.15875530664965</v>
      </c>
      <c r="I33" s="13"/>
      <c r="J33" s="13"/>
      <c r="K33" s="24"/>
      <c r="L33" s="24"/>
      <c r="M33" s="139"/>
      <c r="N33" s="102">
        <v>0.1</v>
      </c>
      <c r="O33" s="33" cm="1">
        <f t="array" ref="O33">($L$7*(1+$N33)-$L$7)+(BS_Price("P",$L$7*(1+$N33),$L$8,$L$9+O$26,$L$10-1/365,$L$11)-$O$7)</f>
        <v>201.42282207293866</v>
      </c>
      <c r="P33" s="34" cm="1">
        <f t="array" ref="P33">($L$7*(1+$N33)-$L$7)+(BS_Price("P",$L$7*(1+$N33),$L$8,$L$9+P$26,$L$10-1/365,$L$11)-$O$7)</f>
        <v>205.5540754690214</v>
      </c>
      <c r="Q33" s="34" cm="1">
        <f t="array" ref="Q33">($L$7*(1+$N33)-$L$7)+(BS_Price("P",$L$7*(1+$N33),$L$8,$L$9+Q$26,$L$10-1/365,$L$11)-$O$7)</f>
        <v>210.65635167365804</v>
      </c>
      <c r="R33" s="34" cm="1">
        <f t="array" ref="R33">($L$7*(1+$N33)-$L$7)+(BS_Price("P",$L$7*(1+$N33),$L$8,$L$9+R$26,$L$10-1/365,$L$11)-$O$7)</f>
        <v>212.17221911470435</v>
      </c>
      <c r="S33" s="34" cm="1">
        <f t="array" ref="S33">($L$7*(1+$N33)-$L$7)+(BS_Price("P",$L$7*(1+$N33),$L$8,$L$9+S$26,$L$10-1/365,$L$11)-$O$7)</f>
        <v>213.77970136583795</v>
      </c>
      <c r="T33" s="34" cm="1">
        <f t="array" ref="T33">($L$7*(1+$N33)-$L$7)+(BS_Price("P",$L$7*(1+$N33),$L$8,$L$9+T$26,$L$10-1/365,$L$11)-$O$7)</f>
        <v>221.07178612883408</v>
      </c>
      <c r="U33" s="35" cm="1">
        <f t="array" ref="U33">($L$7*(1+$N33)-$L$7)+(BS_Price("P",$L$7*(1+$N33),$L$8,$L$9+U$26,$L$10-1/365,$L$11)-$O$7)</f>
        <v>231.91505495374176</v>
      </c>
      <c r="AI33" s="3">
        <f t="shared" si="6"/>
        <v>2175</v>
      </c>
      <c r="AJ33" s="3">
        <f t="shared" si="3"/>
        <v>-226.69000000000005</v>
      </c>
      <c r="AK33" s="16">
        <f t="shared" si="4"/>
        <v>-41</v>
      </c>
      <c r="AL33" s="16">
        <f t="shared" si="5"/>
        <v>-267.69000000000005</v>
      </c>
    </row>
    <row r="34" spans="1:38">
      <c r="A34" s="4">
        <v>40032</v>
      </c>
      <c r="B34" s="3">
        <v>2706.22</v>
      </c>
      <c r="C34" s="11">
        <v>8.8100000000000001E-3</v>
      </c>
      <c r="D34" s="6">
        <v>3.4</v>
      </c>
      <c r="E34" s="12">
        <v>0.39270838113577278</v>
      </c>
      <c r="F34" s="13">
        <f t="shared" si="0"/>
        <v>2709.62</v>
      </c>
      <c r="G34" s="13">
        <f t="shared" si="1"/>
        <v>112.67982129250652</v>
      </c>
      <c r="H34" s="13">
        <f t="shared" si="2"/>
        <v>110.92770674952612</v>
      </c>
      <c r="I34" s="13"/>
      <c r="J34" s="13"/>
      <c r="K34" s="24"/>
      <c r="L34" s="24"/>
      <c r="AI34" s="3">
        <f t="shared" si="6"/>
        <v>2200</v>
      </c>
      <c r="AJ34" s="3">
        <f t="shared" si="3"/>
        <v>-201.69000000000005</v>
      </c>
      <c r="AK34" s="16">
        <f t="shared" si="4"/>
        <v>-41</v>
      </c>
      <c r="AL34" s="16">
        <f t="shared" si="5"/>
        <v>-242.69000000000005</v>
      </c>
    </row>
    <row r="35" spans="1:38">
      <c r="A35" s="4">
        <v>40035</v>
      </c>
      <c r="B35" s="3">
        <v>2693.61</v>
      </c>
      <c r="C35" s="11">
        <v>8.8400000000000006E-3</v>
      </c>
      <c r="D35" s="6">
        <v>3.4</v>
      </c>
      <c r="E35" s="12">
        <v>0.40135881797002043</v>
      </c>
      <c r="F35" s="13">
        <f t="shared" si="0"/>
        <v>2697.01</v>
      </c>
      <c r="G35" s="13">
        <f t="shared" si="1"/>
        <v>112.15477434639776</v>
      </c>
      <c r="H35" s="13">
        <f t="shared" si="2"/>
        <v>110.41147259783273</v>
      </c>
      <c r="I35" s="13"/>
      <c r="J35" s="13"/>
      <c r="K35" s="24"/>
      <c r="L35" s="24"/>
      <c r="AI35" s="3">
        <f t="shared" si="6"/>
        <v>2225</v>
      </c>
      <c r="AJ35" s="3">
        <f t="shared" si="3"/>
        <v>-176.69000000000005</v>
      </c>
      <c r="AK35" s="16">
        <f t="shared" si="4"/>
        <v>-41</v>
      </c>
      <c r="AL35" s="16">
        <f t="shared" si="5"/>
        <v>-217.69000000000005</v>
      </c>
    </row>
    <row r="36" spans="1:38">
      <c r="A36" s="4">
        <v>40036</v>
      </c>
      <c r="B36" s="3">
        <v>2650.94</v>
      </c>
      <c r="C36" s="11">
        <v>8.8299999999999993E-3</v>
      </c>
      <c r="D36" s="6">
        <v>4.5</v>
      </c>
      <c r="E36" s="12">
        <v>0.40490927403168486</v>
      </c>
      <c r="F36" s="13">
        <f t="shared" si="0"/>
        <v>2655.44</v>
      </c>
      <c r="G36" s="13">
        <f t="shared" si="1"/>
        <v>110.37810874842297</v>
      </c>
      <c r="H36" s="13">
        <f t="shared" si="2"/>
        <v>108.70966025160786</v>
      </c>
      <c r="I36" s="13"/>
      <c r="J36" s="13"/>
      <c r="K36" s="24"/>
      <c r="L36" s="24"/>
      <c r="AI36" s="3">
        <f>AI35+25</f>
        <v>2250</v>
      </c>
      <c r="AJ36" s="3">
        <f t="shared" si="3"/>
        <v>-151.69000000000005</v>
      </c>
      <c r="AK36" s="16">
        <f t="shared" si="4"/>
        <v>-41</v>
      </c>
      <c r="AL36" s="16">
        <f t="shared" si="5"/>
        <v>-192.69000000000005</v>
      </c>
    </row>
    <row r="37" spans="1:38">
      <c r="A37" s="4">
        <v>40037</v>
      </c>
      <c r="B37" s="3">
        <v>2688.21</v>
      </c>
      <c r="C37" s="11">
        <v>8.7899999999999992E-3</v>
      </c>
      <c r="D37" s="6">
        <v>3.6</v>
      </c>
      <c r="E37" s="12">
        <v>0.41328396836200404</v>
      </c>
      <c r="F37" s="13">
        <f t="shared" si="0"/>
        <v>2691.81</v>
      </c>
      <c r="G37" s="13">
        <f t="shared" si="1"/>
        <v>111.92993267240985</v>
      </c>
      <c r="H37" s="13">
        <f t="shared" si="2"/>
        <v>110.19859253527872</v>
      </c>
      <c r="I37" s="13"/>
      <c r="J37" s="13"/>
      <c r="K37" s="24"/>
      <c r="L37" s="24"/>
      <c r="AI37" s="3">
        <f t="shared" si="6"/>
        <v>2275</v>
      </c>
      <c r="AJ37" s="3">
        <f t="shared" si="3"/>
        <v>-126.69000000000005</v>
      </c>
      <c r="AK37" s="16">
        <f t="shared" si="4"/>
        <v>-41</v>
      </c>
      <c r="AL37" s="16">
        <f t="shared" si="5"/>
        <v>-167.69000000000005</v>
      </c>
    </row>
    <row r="38" spans="1:38">
      <c r="A38" s="4">
        <v>40038</v>
      </c>
      <c r="B38" s="3">
        <v>2705.74</v>
      </c>
      <c r="C38" s="11">
        <v>8.7299999999999999E-3</v>
      </c>
      <c r="D38" s="6">
        <v>3</v>
      </c>
      <c r="E38" s="12">
        <v>0.41505687826624971</v>
      </c>
      <c r="F38" s="13">
        <f t="shared" si="0"/>
        <v>2708.74</v>
      </c>
      <c r="G38" s="13">
        <f t="shared" si="1"/>
        <v>112.65983536592981</v>
      </c>
      <c r="H38" s="13">
        <f t="shared" si="2"/>
        <v>110.89168089278623</v>
      </c>
      <c r="I38" s="13"/>
      <c r="J38" s="13"/>
      <c r="K38" s="24"/>
      <c r="L38" s="24"/>
      <c r="AI38" s="3">
        <f t="shared" si="6"/>
        <v>2300</v>
      </c>
      <c r="AJ38" s="3">
        <f t="shared" si="3"/>
        <v>-101.69000000000005</v>
      </c>
      <c r="AK38" s="16">
        <f t="shared" si="4"/>
        <v>-41</v>
      </c>
      <c r="AL38" s="16">
        <f t="shared" si="5"/>
        <v>-142.69000000000005</v>
      </c>
    </row>
    <row r="39" spans="1:38">
      <c r="A39" s="4">
        <v>40039</v>
      </c>
      <c r="B39" s="3">
        <v>2669.41</v>
      </c>
      <c r="C39" s="11">
        <v>8.6899999999999998E-3</v>
      </c>
      <c r="D39" s="6">
        <v>3.8</v>
      </c>
      <c r="E39" s="12">
        <v>0.41898447890265761</v>
      </c>
      <c r="F39" s="13">
        <f t="shared" si="0"/>
        <v>2673.21</v>
      </c>
      <c r="G39" s="13">
        <f t="shared" si="1"/>
        <v>111.14715054815566</v>
      </c>
      <c r="H39" s="13">
        <f t="shared" si="2"/>
        <v>109.43713692691254</v>
      </c>
      <c r="I39" s="13"/>
      <c r="J39" s="13"/>
      <c r="K39" s="24"/>
      <c r="L39" s="24"/>
      <c r="AI39" s="3">
        <f t="shared" si="6"/>
        <v>2325</v>
      </c>
      <c r="AJ39" s="3">
        <f t="shared" si="3"/>
        <v>-76.690000000000055</v>
      </c>
      <c r="AK39" s="16">
        <f t="shared" si="4"/>
        <v>-41</v>
      </c>
      <c r="AL39" s="16">
        <f t="shared" si="5"/>
        <v>-117.69000000000005</v>
      </c>
    </row>
    <row r="40" spans="1:38">
      <c r="A40" s="4">
        <v>40042</v>
      </c>
      <c r="B40" s="3">
        <v>2603.79</v>
      </c>
      <c r="C40" s="11">
        <v>8.6099999999999996E-3</v>
      </c>
      <c r="D40" s="6">
        <v>6.8</v>
      </c>
      <c r="E40" s="12">
        <v>0.4486332368871947</v>
      </c>
      <c r="F40" s="13">
        <f t="shared" si="0"/>
        <v>2610.59</v>
      </c>
      <c r="G40" s="13">
        <f t="shared" si="1"/>
        <v>108.41490783573234</v>
      </c>
      <c r="H40" s="13">
        <f t="shared" si="2"/>
        <v>106.87356971207971</v>
      </c>
      <c r="I40" s="13"/>
      <c r="J40" s="13"/>
      <c r="K40" s="24"/>
      <c r="L40" s="24"/>
      <c r="AI40" s="3">
        <f t="shared" si="6"/>
        <v>2350</v>
      </c>
      <c r="AJ40" s="3">
        <f t="shared" si="3"/>
        <v>-51.690000000000055</v>
      </c>
      <c r="AK40" s="16">
        <f t="shared" si="4"/>
        <v>-41</v>
      </c>
      <c r="AL40" s="16">
        <f t="shared" si="5"/>
        <v>-92.690000000000055</v>
      </c>
    </row>
    <row r="41" spans="1:38">
      <c r="A41" s="4">
        <v>40043</v>
      </c>
      <c r="B41" s="3">
        <v>2630.6</v>
      </c>
      <c r="C41" s="11">
        <v>8.5900000000000004E-3</v>
      </c>
      <c r="D41" s="6">
        <v>5</v>
      </c>
      <c r="E41" s="12">
        <v>0.44483197816224662</v>
      </c>
      <c r="F41" s="13">
        <f t="shared" si="0"/>
        <v>2635.6</v>
      </c>
      <c r="G41" s="13">
        <f t="shared" si="1"/>
        <v>109.53120510973523</v>
      </c>
      <c r="H41" s="13">
        <f t="shared" si="2"/>
        <v>107.89744093601725</v>
      </c>
      <c r="I41" s="13"/>
      <c r="J41" s="13"/>
      <c r="K41" s="24"/>
      <c r="L41" s="24"/>
      <c r="N41" s="112"/>
      <c r="AI41" s="3">
        <f t="shared" si="6"/>
        <v>2375</v>
      </c>
      <c r="AJ41" s="3">
        <f t="shared" si="3"/>
        <v>-26.690000000000055</v>
      </c>
      <c r="AK41" s="16">
        <f t="shared" si="4"/>
        <v>-41</v>
      </c>
      <c r="AL41" s="16">
        <f t="shared" si="5"/>
        <v>-67.690000000000055</v>
      </c>
    </row>
    <row r="42" spans="1:38">
      <c r="A42" s="4">
        <v>40044</v>
      </c>
      <c r="B42" s="3">
        <v>2622.88</v>
      </c>
      <c r="C42" s="11">
        <v>8.539999999999999E-3</v>
      </c>
      <c r="D42" s="6">
        <v>5.5</v>
      </c>
      <c r="E42" s="12">
        <v>0.45571799691409015</v>
      </c>
      <c r="F42" s="13">
        <f t="shared" si="0"/>
        <v>2628.38</v>
      </c>
      <c r="G42" s="13">
        <f t="shared" si="1"/>
        <v>109.20976479062661</v>
      </c>
      <c r="H42" s="13">
        <f t="shared" si="2"/>
        <v>107.60186515685577</v>
      </c>
      <c r="I42" s="13"/>
      <c r="J42" s="13"/>
      <c r="K42" s="24"/>
      <c r="L42" s="24"/>
      <c r="AI42" s="3">
        <f t="shared" si="6"/>
        <v>2400</v>
      </c>
      <c r="AJ42" s="3">
        <f t="shared" si="3"/>
        <v>-1.6900000000000546</v>
      </c>
      <c r="AK42" s="16">
        <f t="shared" si="4"/>
        <v>-41</v>
      </c>
      <c r="AL42" s="16">
        <f t="shared" si="5"/>
        <v>-42.690000000000055</v>
      </c>
    </row>
    <row r="43" spans="1:38">
      <c r="A43" s="4">
        <v>40045</v>
      </c>
      <c r="B43" s="3">
        <v>2663.67</v>
      </c>
      <c r="C43" s="11">
        <v>8.5100000000000002E-3</v>
      </c>
      <c r="D43" s="6">
        <v>3.4</v>
      </c>
      <c r="E43" s="12">
        <v>0.44805769971325271</v>
      </c>
      <c r="F43" s="13">
        <f t="shared" si="0"/>
        <v>2667.07</v>
      </c>
      <c r="G43" s="13">
        <f t="shared" si="1"/>
        <v>110.90815217617593</v>
      </c>
      <c r="H43" s="13">
        <f t="shared" si="2"/>
        <v>109.18577469920456</v>
      </c>
      <c r="I43" s="13"/>
      <c r="J43" s="13"/>
      <c r="K43" s="24"/>
      <c r="L43" s="24"/>
      <c r="AI43" s="3">
        <f t="shared" si="6"/>
        <v>2425</v>
      </c>
      <c r="AJ43" s="3">
        <f t="shared" si="3"/>
        <v>23.309999999999945</v>
      </c>
      <c r="AK43" s="16">
        <f t="shared" si="4"/>
        <v>-41</v>
      </c>
      <c r="AL43" s="16">
        <f t="shared" si="5"/>
        <v>-17.690000000000055</v>
      </c>
    </row>
    <row r="44" spans="1:38">
      <c r="A44" s="4">
        <v>40046</v>
      </c>
      <c r="B44" s="3">
        <v>2745.62</v>
      </c>
      <c r="C44" s="11">
        <v>8.4899999999999993E-3</v>
      </c>
      <c r="D44" s="6">
        <v>1.9</v>
      </c>
      <c r="E44" s="12">
        <v>0.45910326723331346</v>
      </c>
      <c r="F44" s="13">
        <f t="shared" si="0"/>
        <v>2747.52</v>
      </c>
      <c r="G44" s="13">
        <f t="shared" si="1"/>
        <v>114.32033276567751</v>
      </c>
      <c r="H44" s="13">
        <f t="shared" si="2"/>
        <v>112.47927489775616</v>
      </c>
      <c r="I44" s="13"/>
      <c r="J44" s="13"/>
      <c r="K44" s="24"/>
      <c r="L44" s="24"/>
      <c r="AI44" s="3">
        <f t="shared" si="6"/>
        <v>2450</v>
      </c>
      <c r="AJ44" s="3">
        <f t="shared" si="3"/>
        <v>48.309999999999945</v>
      </c>
      <c r="AK44" s="16">
        <f t="shared" si="4"/>
        <v>-41</v>
      </c>
      <c r="AL44" s="16">
        <f t="shared" si="5"/>
        <v>7.3099999999999454</v>
      </c>
    </row>
    <row r="45" spans="1:38">
      <c r="A45" s="4">
        <v>40049</v>
      </c>
      <c r="B45" s="3">
        <v>2778.34</v>
      </c>
      <c r="C45" s="11">
        <v>8.43E-3</v>
      </c>
      <c r="D45" s="6">
        <v>1.8</v>
      </c>
      <c r="E45" s="12">
        <v>0.49968884348255727</v>
      </c>
      <c r="F45" s="13">
        <f t="shared" si="0"/>
        <v>2780.1400000000003</v>
      </c>
      <c r="G45" s="13">
        <f t="shared" si="1"/>
        <v>115.68270676065605</v>
      </c>
      <c r="H45" s="13">
        <f t="shared" si="2"/>
        <v>113.81468790554676</v>
      </c>
      <c r="I45" s="13"/>
      <c r="J45" s="13"/>
      <c r="K45" s="24"/>
      <c r="L45" s="24"/>
      <c r="AI45" s="3">
        <f t="shared" si="6"/>
        <v>2475</v>
      </c>
      <c r="AJ45" s="3">
        <f t="shared" si="3"/>
        <v>73.309999999999945</v>
      </c>
      <c r="AK45" s="16">
        <f t="shared" si="4"/>
        <v>-41</v>
      </c>
      <c r="AL45" s="16">
        <f t="shared" si="5"/>
        <v>32.309999999999945</v>
      </c>
    </row>
    <row r="46" spans="1:38">
      <c r="A46" s="4">
        <v>40050</v>
      </c>
      <c r="B46" s="3">
        <v>2801.14</v>
      </c>
      <c r="C46" s="11">
        <v>8.3800000000000003E-3</v>
      </c>
      <c r="D46" s="6">
        <v>1.6</v>
      </c>
      <c r="E46" s="12">
        <v>0.51381276545783772</v>
      </c>
      <c r="F46" s="13">
        <f t="shared" si="0"/>
        <v>2802.74</v>
      </c>
      <c r="G46" s="13">
        <f t="shared" si="1"/>
        <v>116.63203827304937</v>
      </c>
      <c r="H46" s="13">
        <f t="shared" si="2"/>
        <v>114.73989740818521</v>
      </c>
      <c r="I46" s="13"/>
      <c r="J46" s="13"/>
      <c r="K46" s="24"/>
      <c r="L46" s="24"/>
      <c r="AI46" s="3">
        <f t="shared" si="6"/>
        <v>2500</v>
      </c>
      <c r="AJ46" s="3">
        <f t="shared" si="3"/>
        <v>98.309999999999945</v>
      </c>
      <c r="AK46" s="16">
        <f t="shared" si="4"/>
        <v>-41</v>
      </c>
      <c r="AL46" s="16">
        <f t="shared" si="5"/>
        <v>57.309999999999945</v>
      </c>
    </row>
    <row r="47" spans="1:38">
      <c r="A47" s="4">
        <v>40051</v>
      </c>
      <c r="B47" s="3">
        <v>2788.9</v>
      </c>
      <c r="C47" s="11">
        <v>8.3400000000000002E-3</v>
      </c>
      <c r="D47" s="6">
        <v>1.6</v>
      </c>
      <c r="E47" s="12">
        <v>0.51811207964437511</v>
      </c>
      <c r="F47" s="13">
        <f t="shared" si="0"/>
        <v>2790.5</v>
      </c>
      <c r="G47" s="13">
        <f t="shared" si="1"/>
        <v>116.1223971453435</v>
      </c>
      <c r="H47" s="13">
        <f t="shared" si="2"/>
        <v>114.238810491712</v>
      </c>
      <c r="I47" s="13"/>
      <c r="J47" s="13"/>
      <c r="K47" s="24"/>
      <c r="L47" s="24"/>
      <c r="AI47" s="3">
        <f t="shared" si="6"/>
        <v>2525</v>
      </c>
      <c r="AJ47" s="3">
        <f t="shared" si="3"/>
        <v>123.30999999999995</v>
      </c>
      <c r="AK47" s="16">
        <f t="shared" si="4"/>
        <v>-41</v>
      </c>
      <c r="AL47" s="16">
        <f t="shared" si="5"/>
        <v>82.309999999999945</v>
      </c>
    </row>
    <row r="48" spans="1:38">
      <c r="A48" s="4">
        <v>40052</v>
      </c>
      <c r="B48" s="3">
        <v>2777.62</v>
      </c>
      <c r="C48" s="11">
        <v>8.2899999999999988E-3</v>
      </c>
      <c r="D48" s="6">
        <v>1.4</v>
      </c>
      <c r="E48" s="12">
        <v>0.51381164095262888</v>
      </c>
      <c r="F48" s="13">
        <f t="shared" si="0"/>
        <v>2779.02</v>
      </c>
      <c r="G48" s="13">
        <f t="shared" si="1"/>
        <v>115.65272787079097</v>
      </c>
      <c r="H48" s="13">
        <f t="shared" si="2"/>
        <v>113.76883681515051</v>
      </c>
      <c r="I48" s="13"/>
      <c r="J48" s="13"/>
      <c r="K48" s="24"/>
      <c r="L48" s="24"/>
      <c r="AI48" s="3">
        <f t="shared" si="6"/>
        <v>2550</v>
      </c>
      <c r="AJ48" s="3">
        <f t="shared" si="3"/>
        <v>148.30999999999995</v>
      </c>
      <c r="AK48" s="16">
        <f t="shared" si="4"/>
        <v>-41</v>
      </c>
      <c r="AL48" s="16">
        <f t="shared" si="5"/>
        <v>107.30999999999995</v>
      </c>
    </row>
    <row r="49" spans="1:38">
      <c r="A49" s="4">
        <v>40053</v>
      </c>
      <c r="B49" s="3">
        <v>2803.65</v>
      </c>
      <c r="C49" s="11">
        <v>8.2500000000000004E-3</v>
      </c>
      <c r="D49" s="6">
        <v>1</v>
      </c>
      <c r="E49" s="12">
        <v>0.51735875286747635</v>
      </c>
      <c r="F49" s="13">
        <f t="shared" si="0"/>
        <v>2804.65</v>
      </c>
      <c r="G49" s="13">
        <f t="shared" si="1"/>
        <v>116.73654801410673</v>
      </c>
      <c r="H49" s="13">
        <f t="shared" si="2"/>
        <v>114.81808989270026</v>
      </c>
      <c r="I49" s="13"/>
      <c r="J49" s="13"/>
      <c r="K49" s="24"/>
      <c r="L49" s="24"/>
      <c r="AI49" s="3">
        <f t="shared" si="6"/>
        <v>2575</v>
      </c>
      <c r="AJ49" s="3">
        <f t="shared" si="3"/>
        <v>173.30999999999995</v>
      </c>
      <c r="AK49" s="16">
        <f t="shared" si="4"/>
        <v>-41</v>
      </c>
      <c r="AL49" s="16">
        <f t="shared" si="5"/>
        <v>132.30999999999995</v>
      </c>
    </row>
    <row r="50" spans="1:38">
      <c r="A50" s="4"/>
      <c r="C50" s="11"/>
      <c r="D50" s="6"/>
      <c r="E50" s="12"/>
      <c r="F50" s="13"/>
      <c r="G50" s="13"/>
      <c r="H50" s="13"/>
      <c r="I50" s="13"/>
      <c r="J50" s="13"/>
      <c r="K50" s="24"/>
      <c r="L50" s="24"/>
      <c r="AI50" s="3">
        <f t="shared" ref="AI50:AI66" si="8">AI49+25</f>
        <v>2600</v>
      </c>
      <c r="AJ50" s="3">
        <f t="shared" ref="AJ50:AJ66" si="9">AI50-$AI$4</f>
        <v>198.30999999999995</v>
      </c>
      <c r="AK50" s="16">
        <f t="shared" ref="AK50:AK66" si="10">MAX($AJ$4-AI50,0)-$AK$4</f>
        <v>-41</v>
      </c>
      <c r="AL50" s="16">
        <f t="shared" ref="AL50:AL66" si="11">(AI50-$AI$4)+MAX($AJ$4-AI50,0)-$AK$4</f>
        <v>157.30999999999995</v>
      </c>
    </row>
    <row r="51" spans="1:38">
      <c r="A51" s="74" t="s">
        <v>34</v>
      </c>
      <c r="C51" s="11"/>
      <c r="D51" s="6"/>
      <c r="E51" s="12"/>
      <c r="F51" s="13"/>
      <c r="G51" s="13"/>
      <c r="H51" s="13"/>
      <c r="I51" s="13"/>
      <c r="AI51" s="3">
        <f t="shared" si="8"/>
        <v>2625</v>
      </c>
      <c r="AJ51" s="3">
        <f t="shared" si="9"/>
        <v>223.30999999999995</v>
      </c>
      <c r="AK51" s="16">
        <f t="shared" si="10"/>
        <v>-41</v>
      </c>
      <c r="AL51" s="16">
        <f t="shared" si="11"/>
        <v>182.30999999999995</v>
      </c>
    </row>
    <row r="52" spans="1:38">
      <c r="A52" s="62" t="s">
        <v>35</v>
      </c>
      <c r="E52" s="68"/>
      <c r="F52" s="69" t="s">
        <v>36</v>
      </c>
      <c r="G52" s="69"/>
      <c r="H52" s="69"/>
      <c r="I52" s="69"/>
      <c r="J52" s="68"/>
      <c r="K52" s="68"/>
      <c r="L52" s="68"/>
      <c r="M52" s="68"/>
      <c r="N52" s="68"/>
      <c r="O52" s="68"/>
      <c r="P52" s="68"/>
      <c r="AI52" s="3">
        <f t="shared" si="8"/>
        <v>2650</v>
      </c>
      <c r="AJ52" s="3">
        <f t="shared" si="9"/>
        <v>248.30999999999995</v>
      </c>
      <c r="AK52" s="16">
        <f t="shared" si="10"/>
        <v>-41</v>
      </c>
      <c r="AL52" s="16">
        <f t="shared" si="11"/>
        <v>207.30999999999995</v>
      </c>
    </row>
    <row r="53" spans="1:38">
      <c r="A53" s="65" t="s">
        <v>4</v>
      </c>
      <c r="B53" s="27" t="s">
        <v>37</v>
      </c>
      <c r="E53" s="110" t="s">
        <v>38</v>
      </c>
      <c r="F53" s="70" t="s">
        <v>39</v>
      </c>
      <c r="G53" s="70"/>
      <c r="H53" s="70" t="s">
        <v>40</v>
      </c>
      <c r="I53" s="68"/>
      <c r="J53" s="70" t="s">
        <v>41</v>
      </c>
      <c r="L53" s="68"/>
      <c r="AI53" s="3">
        <f t="shared" si="8"/>
        <v>2675</v>
      </c>
      <c r="AJ53" s="3">
        <f t="shared" si="9"/>
        <v>273.30999999999995</v>
      </c>
      <c r="AK53" s="16">
        <f t="shared" si="10"/>
        <v>-41</v>
      </c>
      <c r="AL53" s="16">
        <f t="shared" si="11"/>
        <v>232.30999999999995</v>
      </c>
    </row>
    <row r="54" spans="1:38">
      <c r="A54" s="66">
        <f t="shared" ref="A54:A97" si="12">A6</f>
        <v>39994</v>
      </c>
      <c r="B54" s="63"/>
      <c r="E54" s="68"/>
      <c r="F54" s="68">
        <f>B49/B6-1</f>
        <v>0.16736548014106734</v>
      </c>
      <c r="G54" s="68"/>
      <c r="H54" s="68">
        <f>_xlfn.STDEV.S(B54:B97)</f>
        <v>1.4440576391812635E-2</v>
      </c>
      <c r="I54" s="68"/>
      <c r="J54" s="68">
        <f>H54*SQRT(252)</f>
        <v>0.22923704352699992</v>
      </c>
      <c r="L54" s="68"/>
      <c r="AI54" s="3">
        <f t="shared" si="8"/>
        <v>2700</v>
      </c>
      <c r="AJ54" s="3">
        <f t="shared" si="9"/>
        <v>298.30999999999995</v>
      </c>
      <c r="AK54" s="16">
        <f t="shared" si="10"/>
        <v>-41</v>
      </c>
      <c r="AL54" s="16">
        <f t="shared" si="11"/>
        <v>257.30999999999995</v>
      </c>
    </row>
    <row r="55" spans="1:38">
      <c r="A55" s="66">
        <f t="shared" si="12"/>
        <v>39995</v>
      </c>
      <c r="B55" s="63">
        <f t="shared" ref="B55:B97" si="13">B7/B6-1</f>
        <v>2.0002581515516038E-2</v>
      </c>
      <c r="E55" s="68"/>
      <c r="F55" s="68"/>
      <c r="G55" s="68"/>
      <c r="H55" s="68"/>
      <c r="I55" s="68"/>
      <c r="J55" s="68"/>
      <c r="K55" s="68"/>
      <c r="L55" s="68"/>
      <c r="AI55" s="3">
        <f t="shared" si="8"/>
        <v>2725</v>
      </c>
      <c r="AJ55" s="3">
        <f t="shared" si="9"/>
        <v>323.30999999999995</v>
      </c>
      <c r="AK55" s="16">
        <f t="shared" si="10"/>
        <v>-41</v>
      </c>
      <c r="AL55" s="16">
        <f t="shared" si="11"/>
        <v>282.30999999999995</v>
      </c>
    </row>
    <row r="56" spans="1:38">
      <c r="A56" s="66">
        <f t="shared" si="12"/>
        <v>39996</v>
      </c>
      <c r="B56" s="63">
        <f t="shared" si="13"/>
        <v>-3.2689316781849387E-2</v>
      </c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AI56" s="3">
        <f t="shared" si="8"/>
        <v>2750</v>
      </c>
      <c r="AJ56" s="3">
        <f t="shared" si="9"/>
        <v>348.30999999999995</v>
      </c>
      <c r="AK56" s="16">
        <f t="shared" si="10"/>
        <v>-41</v>
      </c>
      <c r="AL56" s="16">
        <f t="shared" si="11"/>
        <v>307.30999999999995</v>
      </c>
    </row>
    <row r="57" spans="1:38">
      <c r="A57" s="66">
        <f t="shared" si="12"/>
        <v>39997</v>
      </c>
      <c r="B57" s="63">
        <f t="shared" si="13"/>
        <v>2.8822821935727827E-3</v>
      </c>
      <c r="E57" s="110" t="s">
        <v>42</v>
      </c>
      <c r="F57" s="70" t="s">
        <v>43</v>
      </c>
      <c r="G57" s="70"/>
      <c r="H57" s="70"/>
      <c r="I57" s="70"/>
      <c r="J57" s="68"/>
      <c r="K57" s="68"/>
      <c r="L57" s="68"/>
      <c r="M57" s="68"/>
      <c r="N57" s="68"/>
      <c r="O57" s="68"/>
      <c r="P57" s="68"/>
      <c r="AI57" s="3">
        <f t="shared" si="8"/>
        <v>2775</v>
      </c>
      <c r="AJ57" s="3">
        <f t="shared" si="9"/>
        <v>373.30999999999995</v>
      </c>
      <c r="AK57" s="16">
        <f t="shared" si="10"/>
        <v>-41</v>
      </c>
      <c r="AL57" s="16">
        <f t="shared" si="11"/>
        <v>332.30999999999995</v>
      </c>
    </row>
    <row r="58" spans="1:38">
      <c r="A58" s="66">
        <f t="shared" si="12"/>
        <v>40000</v>
      </c>
      <c r="B58" s="63">
        <f t="shared" si="13"/>
        <v>-1.3717767454386243E-2</v>
      </c>
      <c r="E58" s="68"/>
      <c r="F58" s="68">
        <f>H49/H6-1</f>
        <v>0.14818089892700259</v>
      </c>
      <c r="G58" s="68"/>
      <c r="H58" s="68"/>
      <c r="I58" s="68"/>
      <c r="J58" s="68"/>
      <c r="K58" s="68"/>
      <c r="L58" s="68"/>
      <c r="M58" s="68"/>
      <c r="N58" s="68"/>
      <c r="O58" s="68"/>
      <c r="P58" s="68"/>
      <c r="AI58" s="3">
        <f t="shared" si="8"/>
        <v>2800</v>
      </c>
      <c r="AJ58" s="3">
        <f t="shared" si="9"/>
        <v>398.30999999999995</v>
      </c>
      <c r="AK58" s="16">
        <f t="shared" si="10"/>
        <v>-41</v>
      </c>
      <c r="AL58" s="16">
        <f t="shared" si="11"/>
        <v>357.30999999999995</v>
      </c>
    </row>
    <row r="59" spans="1:38">
      <c r="A59" s="66">
        <f t="shared" si="12"/>
        <v>40001</v>
      </c>
      <c r="B59" s="63">
        <f t="shared" si="13"/>
        <v>-9.8042561905899994E-3</v>
      </c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AI59" s="3">
        <f t="shared" si="8"/>
        <v>2825</v>
      </c>
      <c r="AJ59" s="3">
        <f t="shared" si="9"/>
        <v>423.30999999999995</v>
      </c>
      <c r="AK59" s="16">
        <f t="shared" si="10"/>
        <v>-41</v>
      </c>
      <c r="AL59" s="16">
        <f t="shared" si="11"/>
        <v>382.30999999999995</v>
      </c>
    </row>
    <row r="60" spans="1:38">
      <c r="A60" s="66">
        <f t="shared" si="12"/>
        <v>40002</v>
      </c>
      <c r="B60" s="63">
        <f t="shared" si="13"/>
        <v>-1.2740747123960561E-2</v>
      </c>
      <c r="E60" s="110" t="s">
        <v>44</v>
      </c>
      <c r="F60" s="70" t="s">
        <v>45</v>
      </c>
      <c r="G60" s="70"/>
      <c r="H60" s="70"/>
      <c r="I60" s="70"/>
      <c r="J60" s="68"/>
      <c r="K60" s="68"/>
      <c r="L60" s="68"/>
      <c r="M60" s="68"/>
      <c r="N60" s="68"/>
      <c r="O60" s="68"/>
      <c r="P60" s="68"/>
      <c r="AI60" s="3">
        <f t="shared" si="8"/>
        <v>2850</v>
      </c>
      <c r="AJ60" s="3">
        <f t="shared" si="9"/>
        <v>448.30999999999995</v>
      </c>
      <c r="AK60" s="16">
        <f t="shared" si="10"/>
        <v>-41</v>
      </c>
      <c r="AL60" s="16">
        <f t="shared" si="11"/>
        <v>407.30999999999995</v>
      </c>
    </row>
    <row r="61" spans="1:38">
      <c r="A61" s="66">
        <f t="shared" si="12"/>
        <v>40003</v>
      </c>
      <c r="B61" s="63">
        <f t="shared" si="13"/>
        <v>9.8370815203396855E-3</v>
      </c>
      <c r="E61" s="68"/>
      <c r="F61" s="68">
        <f>G49/G6-1</f>
        <v>0.16736548014106734</v>
      </c>
      <c r="G61" s="68"/>
      <c r="H61" s="68"/>
      <c r="I61" s="68"/>
      <c r="J61" s="68"/>
      <c r="K61" s="68"/>
      <c r="L61" s="68"/>
      <c r="M61" s="68"/>
      <c r="N61" s="68"/>
      <c r="O61" s="68"/>
      <c r="P61" s="68"/>
      <c r="AI61" s="3">
        <f t="shared" si="8"/>
        <v>2875</v>
      </c>
      <c r="AJ61" s="3">
        <f t="shared" si="9"/>
        <v>473.30999999999995</v>
      </c>
      <c r="AK61" s="16">
        <f t="shared" si="10"/>
        <v>-41</v>
      </c>
      <c r="AL61" s="16">
        <f t="shared" si="11"/>
        <v>432.30999999999995</v>
      </c>
    </row>
    <row r="62" spans="1:38">
      <c r="A62" s="66">
        <f t="shared" si="12"/>
        <v>40004</v>
      </c>
      <c r="B62" s="63">
        <f t="shared" si="13"/>
        <v>-1.4002515266631321E-2</v>
      </c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8"/>
      <c r="AI62" s="3">
        <f t="shared" si="8"/>
        <v>2900</v>
      </c>
      <c r="AJ62" s="3">
        <f t="shared" si="9"/>
        <v>498.30999999999995</v>
      </c>
      <c r="AK62" s="16">
        <f t="shared" si="10"/>
        <v>-41</v>
      </c>
      <c r="AL62" s="16">
        <f t="shared" si="11"/>
        <v>457.30999999999995</v>
      </c>
    </row>
    <row r="63" spans="1:38">
      <c r="A63" s="66">
        <f t="shared" si="12"/>
        <v>40007</v>
      </c>
      <c r="B63" s="63">
        <f t="shared" si="13"/>
        <v>2.7942510749648264E-2</v>
      </c>
      <c r="E63" s="110" t="s">
        <v>46</v>
      </c>
      <c r="F63" s="70" t="s">
        <v>47</v>
      </c>
      <c r="G63" s="70"/>
      <c r="H63" s="70"/>
      <c r="I63" s="70"/>
      <c r="J63" s="68"/>
      <c r="K63" s="68"/>
      <c r="L63" s="68"/>
      <c r="M63" s="68"/>
      <c r="N63" s="68"/>
      <c r="O63" s="68"/>
      <c r="P63" s="68"/>
      <c r="AI63" s="3">
        <f t="shared" si="8"/>
        <v>2925</v>
      </c>
      <c r="AJ63" s="3">
        <f t="shared" si="9"/>
        <v>523.30999999999995</v>
      </c>
      <c r="AK63" s="16">
        <f t="shared" si="10"/>
        <v>-41</v>
      </c>
      <c r="AL63" s="16">
        <f t="shared" si="11"/>
        <v>482.30999999999995</v>
      </c>
    </row>
    <row r="64" spans="1:38">
      <c r="A64" s="66">
        <f t="shared" si="12"/>
        <v>40008</v>
      </c>
      <c r="B64" s="63">
        <f t="shared" si="13"/>
        <v>1.0868916348999447E-2</v>
      </c>
      <c r="E64" s="68"/>
      <c r="F64" s="68">
        <f>F58-F61</f>
        <v>-1.9184581214064744E-2</v>
      </c>
      <c r="G64" s="68"/>
      <c r="H64" s="68"/>
      <c r="I64" s="68"/>
      <c r="J64" s="68"/>
      <c r="K64" s="68"/>
      <c r="L64" s="68"/>
      <c r="M64" s="68"/>
      <c r="N64" s="68"/>
      <c r="O64" s="68"/>
      <c r="P64" s="68"/>
      <c r="AI64" s="3">
        <f t="shared" si="8"/>
        <v>2950</v>
      </c>
      <c r="AJ64" s="3">
        <f t="shared" si="9"/>
        <v>548.30999999999995</v>
      </c>
      <c r="AK64" s="16">
        <f t="shared" si="10"/>
        <v>-41</v>
      </c>
      <c r="AL64" s="16">
        <f t="shared" si="11"/>
        <v>507.30999999999995</v>
      </c>
    </row>
    <row r="65" spans="1:38">
      <c r="A65" s="66">
        <f t="shared" si="12"/>
        <v>40009</v>
      </c>
      <c r="B65" s="63">
        <f t="shared" si="13"/>
        <v>3.3875927464767974E-2</v>
      </c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AI65" s="3">
        <f t="shared" si="8"/>
        <v>2975</v>
      </c>
      <c r="AJ65" s="3">
        <f t="shared" si="9"/>
        <v>573.30999999999995</v>
      </c>
      <c r="AK65" s="16">
        <f t="shared" si="10"/>
        <v>-41</v>
      </c>
      <c r="AL65" s="16">
        <f t="shared" si="11"/>
        <v>532.30999999999995</v>
      </c>
    </row>
    <row r="66" spans="1:38">
      <c r="A66" s="66">
        <f t="shared" si="12"/>
        <v>40010</v>
      </c>
      <c r="B66" s="63">
        <f t="shared" si="13"/>
        <v>3.2435475842709227E-3</v>
      </c>
      <c r="E66" s="68"/>
      <c r="F66" s="68"/>
      <c r="G66" s="68"/>
      <c r="H66" s="68"/>
      <c r="I66" s="68"/>
      <c r="J66" s="68"/>
      <c r="K66" s="68"/>
      <c r="L66" s="68"/>
      <c r="M66" s="68"/>
      <c r="N66" s="68"/>
      <c r="O66" s="68"/>
      <c r="P66" s="68"/>
      <c r="AI66" s="3">
        <f t="shared" si="8"/>
        <v>3000</v>
      </c>
      <c r="AJ66" s="3">
        <f t="shared" si="9"/>
        <v>598.30999999999995</v>
      </c>
      <c r="AK66" s="16">
        <f t="shared" si="10"/>
        <v>-41</v>
      </c>
      <c r="AL66" s="16">
        <f t="shared" si="11"/>
        <v>557.30999999999995</v>
      </c>
    </row>
    <row r="67" spans="1:38">
      <c r="A67" s="66">
        <f t="shared" si="12"/>
        <v>40011</v>
      </c>
      <c r="B67" s="63">
        <f t="shared" si="13"/>
        <v>4.1602784905874213E-3</v>
      </c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AK67" s="16"/>
      <c r="AL67" s="16"/>
    </row>
    <row r="68" spans="1:38">
      <c r="A68" s="66">
        <f t="shared" si="12"/>
        <v>40014</v>
      </c>
      <c r="B68" s="63">
        <f t="shared" si="13"/>
        <v>1.2753118418921128E-2</v>
      </c>
      <c r="E68" s="68"/>
      <c r="F68" s="71" t="s">
        <v>48</v>
      </c>
      <c r="G68" s="71"/>
      <c r="H68" s="71"/>
      <c r="I68" s="71"/>
      <c r="J68" s="68"/>
      <c r="K68" s="68"/>
      <c r="L68" s="68"/>
      <c r="M68" s="68"/>
      <c r="N68" s="68"/>
      <c r="O68" s="68"/>
      <c r="P68" s="68"/>
      <c r="AK68" s="16"/>
      <c r="AL68" s="16"/>
    </row>
    <row r="69" spans="1:38">
      <c r="A69" s="66">
        <f t="shared" si="12"/>
        <v>40015</v>
      </c>
      <c r="B69" s="63">
        <f t="shared" si="13"/>
        <v>7.7178698679163382E-3</v>
      </c>
      <c r="E69" s="68"/>
      <c r="F69" s="70" t="s">
        <v>49</v>
      </c>
      <c r="G69" s="70"/>
      <c r="H69" s="70" t="s">
        <v>50</v>
      </c>
      <c r="I69" s="70"/>
      <c r="J69" s="70" t="s">
        <v>51</v>
      </c>
      <c r="N69" s="70"/>
      <c r="O69" s="68"/>
      <c r="P69" s="68"/>
      <c r="AK69" s="16"/>
      <c r="AL69" s="16"/>
    </row>
    <row r="70" spans="1:38">
      <c r="A70" s="66">
        <f t="shared" si="12"/>
        <v>40016</v>
      </c>
      <c r="B70" s="63">
        <f t="shared" si="13"/>
        <v>3.5158869678055815E-3</v>
      </c>
      <c r="E70" s="68"/>
      <c r="F70" s="73">
        <f>AVERAGE(E6:E49)</f>
        <v>0.39577683875223302</v>
      </c>
      <c r="G70" s="68"/>
      <c r="H70" s="73">
        <f>MAX(E6:E49)</f>
        <v>0.51811207964437511</v>
      </c>
      <c r="I70" s="68"/>
      <c r="J70" s="73">
        <f>MIN(E6:E49)</f>
        <v>0.33948558816649727</v>
      </c>
      <c r="K70" s="68"/>
      <c r="L70" s="68"/>
      <c r="M70" s="68"/>
      <c r="N70" s="68"/>
      <c r="O70" s="68"/>
      <c r="P70" s="68"/>
      <c r="AK70" s="16"/>
      <c r="AL70" s="16"/>
    </row>
    <row r="71" spans="1:38">
      <c r="A71" s="66">
        <f t="shared" si="12"/>
        <v>40017</v>
      </c>
      <c r="B71" s="63">
        <f t="shared" si="13"/>
        <v>2.2516163473515594E-2</v>
      </c>
      <c r="E71" s="68"/>
      <c r="F71" s="68"/>
      <c r="G71" s="68"/>
      <c r="H71" s="68"/>
      <c r="I71" s="68"/>
      <c r="J71" s="68"/>
      <c r="K71" s="68"/>
      <c r="L71" s="68"/>
      <c r="M71" s="68"/>
      <c r="N71" s="68"/>
      <c r="O71" s="68"/>
      <c r="P71" s="68"/>
      <c r="AK71" s="16"/>
      <c r="AL71" s="16"/>
    </row>
    <row r="72" spans="1:38">
      <c r="A72" s="66">
        <f t="shared" si="12"/>
        <v>40018</v>
      </c>
      <c r="B72" s="63">
        <f t="shared" si="13"/>
        <v>-1.171788892369352E-3</v>
      </c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AK72" s="16"/>
      <c r="AL72" s="16"/>
    </row>
    <row r="73" spans="1:38">
      <c r="A73" s="66">
        <f t="shared" si="12"/>
        <v>40021</v>
      </c>
      <c r="B73" s="63">
        <f t="shared" si="13"/>
        <v>7.2209574253898623E-3</v>
      </c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</row>
    <row r="74" spans="1:38">
      <c r="A74" s="66">
        <f t="shared" si="12"/>
        <v>40022</v>
      </c>
      <c r="B74" s="63">
        <f t="shared" si="13"/>
        <v>-1.0890247980902656E-2</v>
      </c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  <c r="P74" s="68"/>
    </row>
    <row r="75" spans="1:38">
      <c r="A75" s="66">
        <f t="shared" si="12"/>
        <v>40023</v>
      </c>
      <c r="B75" s="63">
        <f t="shared" si="13"/>
        <v>1.0582648032707809E-2</v>
      </c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</row>
    <row r="76" spans="1:38">
      <c r="A76" s="66">
        <f t="shared" si="12"/>
        <v>40024</v>
      </c>
      <c r="B76" s="63">
        <f t="shared" si="13"/>
        <v>2.0932119631889901E-2</v>
      </c>
    </row>
    <row r="77" spans="1:38">
      <c r="A77" s="66">
        <f t="shared" si="12"/>
        <v>40025</v>
      </c>
      <c r="B77" s="63">
        <f t="shared" si="13"/>
        <v>-6.2567332394131148E-3</v>
      </c>
    </row>
    <row r="78" spans="1:38">
      <c r="A78" s="66">
        <f t="shared" si="12"/>
        <v>40028</v>
      </c>
      <c r="B78" s="63">
        <f t="shared" si="13"/>
        <v>1.3623286191355222E-2</v>
      </c>
    </row>
    <row r="79" spans="1:38">
      <c r="A79" s="66">
        <f t="shared" si="12"/>
        <v>40029</v>
      </c>
      <c r="B79" s="63">
        <f t="shared" si="13"/>
        <v>-1.1630211624976683E-3</v>
      </c>
    </row>
    <row r="80" spans="1:38">
      <c r="A80" s="66">
        <f t="shared" si="12"/>
        <v>40030</v>
      </c>
      <c r="B80" s="63">
        <f t="shared" si="13"/>
        <v>-1.0419474645820159E-2</v>
      </c>
    </row>
    <row r="81" spans="1:2">
      <c r="A81" s="66">
        <f t="shared" si="12"/>
        <v>40031</v>
      </c>
      <c r="B81" s="63">
        <f t="shared" si="13"/>
        <v>7.1430463125159438E-3</v>
      </c>
    </row>
    <row r="82" spans="1:2">
      <c r="A82" s="66">
        <f t="shared" si="12"/>
        <v>40032</v>
      </c>
      <c r="B82" s="63">
        <f t="shared" si="13"/>
        <v>1.6607751285682371E-2</v>
      </c>
    </row>
    <row r="83" spans="1:2">
      <c r="A83" s="66">
        <f t="shared" si="12"/>
        <v>40035</v>
      </c>
      <c r="B83" s="63">
        <f t="shared" si="13"/>
        <v>-4.6596359497748097E-3</v>
      </c>
    </row>
    <row r="84" spans="1:2">
      <c r="A84" s="66">
        <f t="shared" si="12"/>
        <v>40036</v>
      </c>
      <c r="B84" s="63">
        <f t="shared" si="13"/>
        <v>-1.5841194530759828E-2</v>
      </c>
    </row>
    <row r="85" spans="1:2">
      <c r="A85" s="66">
        <f t="shared" si="12"/>
        <v>40037</v>
      </c>
      <c r="B85" s="63">
        <f t="shared" si="13"/>
        <v>1.405916391921358E-2</v>
      </c>
    </row>
    <row r="86" spans="1:2">
      <c r="A86" s="66">
        <f t="shared" si="12"/>
        <v>40038</v>
      </c>
      <c r="B86" s="63">
        <f t="shared" si="13"/>
        <v>6.52106792252094E-3</v>
      </c>
    </row>
    <row r="87" spans="1:2">
      <c r="A87" s="66">
        <f t="shared" si="12"/>
        <v>40039</v>
      </c>
      <c r="B87" s="63">
        <f t="shared" si="13"/>
        <v>-1.34270107253468E-2</v>
      </c>
    </row>
    <row r="88" spans="1:2">
      <c r="A88" s="66">
        <f t="shared" si="12"/>
        <v>40042</v>
      </c>
      <c r="B88" s="63">
        <f t="shared" si="13"/>
        <v>-2.458221105038183E-2</v>
      </c>
    </row>
    <row r="89" spans="1:2">
      <c r="A89" s="66">
        <f t="shared" si="12"/>
        <v>40043</v>
      </c>
      <c r="B89" s="63">
        <f t="shared" si="13"/>
        <v>1.0296529289996581E-2</v>
      </c>
    </row>
    <row r="90" spans="1:2">
      <c r="A90" s="66">
        <f t="shared" si="12"/>
        <v>40044</v>
      </c>
      <c r="B90" s="63">
        <f t="shared" si="13"/>
        <v>-2.9346917053143518E-3</v>
      </c>
    </row>
    <row r="91" spans="1:2">
      <c r="A91" s="66">
        <f t="shared" si="12"/>
        <v>40045</v>
      </c>
      <c r="B91" s="63">
        <f t="shared" si="13"/>
        <v>1.5551607393399669E-2</v>
      </c>
    </row>
    <row r="92" spans="1:2">
      <c r="A92" s="66">
        <f t="shared" si="12"/>
        <v>40046</v>
      </c>
      <c r="B92" s="63">
        <f t="shared" si="13"/>
        <v>3.0765823093701572E-2</v>
      </c>
    </row>
    <row r="93" spans="1:2">
      <c r="A93" s="66">
        <f t="shared" si="12"/>
        <v>40049</v>
      </c>
      <c r="B93" s="63">
        <f t="shared" si="13"/>
        <v>1.19171626080814E-2</v>
      </c>
    </row>
    <row r="94" spans="1:2">
      <c r="A94" s="66">
        <f t="shared" si="12"/>
        <v>40050</v>
      </c>
      <c r="B94" s="63">
        <f t="shared" si="13"/>
        <v>8.2063390369788713E-3</v>
      </c>
    </row>
    <row r="95" spans="1:2">
      <c r="A95" s="66">
        <f t="shared" si="12"/>
        <v>40051</v>
      </c>
      <c r="B95" s="63">
        <f t="shared" si="13"/>
        <v>-4.3696494998464175E-3</v>
      </c>
    </row>
    <row r="96" spans="1:2">
      <c r="A96" s="66">
        <f t="shared" si="12"/>
        <v>40052</v>
      </c>
      <c r="B96" s="63">
        <f t="shared" si="13"/>
        <v>-4.0446053999785292E-3</v>
      </c>
    </row>
    <row r="97" spans="1:2">
      <c r="A97" s="67">
        <f t="shared" si="12"/>
        <v>40053</v>
      </c>
      <c r="B97" s="64">
        <f t="shared" si="13"/>
        <v>9.3713322916741948E-3</v>
      </c>
    </row>
    <row r="98" spans="1:2">
      <c r="A98" s="4"/>
    </row>
    <row r="99" spans="1:2">
      <c r="A99" s="4"/>
    </row>
    <row r="100" spans="1:2">
      <c r="A100" s="4"/>
    </row>
  </sheetData>
  <mergeCells count="6">
    <mergeCell ref="O14:U14"/>
    <mergeCell ref="O25:U25"/>
    <mergeCell ref="M16:M22"/>
    <mergeCell ref="M27:M33"/>
    <mergeCell ref="M14:N15"/>
    <mergeCell ref="M25:N26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D0394-2635-4913-B7D0-AA34D84B72D3}">
  <sheetPr codeName="Sheet1"/>
  <dimension ref="A1:AA69"/>
  <sheetViews>
    <sheetView zoomScale="23" zoomScaleNormal="85" workbookViewId="0">
      <selection activeCell="AK52" sqref="AK52"/>
    </sheetView>
  </sheetViews>
  <sheetFormatPr baseColWidth="10" defaultColWidth="10" defaultRowHeight="14.4"/>
  <cols>
    <col min="1" max="1" width="12" style="39" customWidth="1"/>
    <col min="2" max="2" width="11.19921875" style="39" bestFit="1" customWidth="1"/>
    <col min="3" max="3" width="7.19921875" style="39" bestFit="1" customWidth="1"/>
    <col min="4" max="5" width="10.69921875" style="39" bestFit="1" customWidth="1"/>
    <col min="6" max="7" width="10" style="39"/>
    <col min="8" max="8" width="10.5" style="39" bestFit="1" customWidth="1"/>
    <col min="9" max="9" width="48.19921875" style="39" customWidth="1"/>
    <col min="10" max="20" width="10" style="39"/>
    <col min="21" max="21" width="10.19921875" style="39" bestFit="1" customWidth="1"/>
    <col min="22" max="16384" width="10" style="39"/>
  </cols>
  <sheetData>
    <row r="1" spans="1:27" s="37" customFormat="1">
      <c r="D1" s="38" t="s">
        <v>0</v>
      </c>
      <c r="E1" s="38" t="s">
        <v>0</v>
      </c>
    </row>
    <row r="2" spans="1:27" ht="43.2">
      <c r="D2" s="40">
        <v>40074</v>
      </c>
      <c r="E2" s="40">
        <v>40074</v>
      </c>
      <c r="I2" s="115" t="s">
        <v>104</v>
      </c>
    </row>
    <row r="3" spans="1:27" s="37" customFormat="1">
      <c r="D3" s="41" t="s">
        <v>1</v>
      </c>
      <c r="E3" s="41" t="s">
        <v>1</v>
      </c>
      <c r="I3" s="42" t="s">
        <v>52</v>
      </c>
    </row>
    <row r="4" spans="1:27" ht="16.2" thickBot="1">
      <c r="A4" s="40"/>
      <c r="D4" s="43">
        <v>2100</v>
      </c>
      <c r="E4" s="43">
        <v>2100</v>
      </c>
    </row>
    <row r="5" spans="1:27" s="42" customFormat="1" ht="27.75" customHeight="1">
      <c r="A5" s="44" t="s">
        <v>4</v>
      </c>
      <c r="B5" s="42" t="s">
        <v>5</v>
      </c>
      <c r="C5" s="42" t="s">
        <v>6</v>
      </c>
      <c r="D5" s="42" t="s">
        <v>7</v>
      </c>
      <c r="E5" s="42" t="s">
        <v>8</v>
      </c>
      <c r="F5" s="42" t="s">
        <v>1</v>
      </c>
      <c r="G5" s="113" t="s">
        <v>102</v>
      </c>
      <c r="H5" s="42" t="s">
        <v>53</v>
      </c>
      <c r="I5" s="42" t="s">
        <v>54</v>
      </c>
      <c r="J5" s="42" t="s">
        <v>55</v>
      </c>
      <c r="K5" s="42" t="s">
        <v>56</v>
      </c>
      <c r="L5" s="42" t="s">
        <v>57</v>
      </c>
      <c r="M5" s="42" t="s">
        <v>58</v>
      </c>
      <c r="N5" s="42" t="s">
        <v>9</v>
      </c>
      <c r="O5" s="45" t="s">
        <v>59</v>
      </c>
      <c r="P5" s="46" t="s">
        <v>60</v>
      </c>
      <c r="Q5" s="42" t="s">
        <v>61</v>
      </c>
      <c r="R5" s="42" t="s">
        <v>62</v>
      </c>
      <c r="S5" s="42" t="s">
        <v>63</v>
      </c>
      <c r="T5" s="42" t="s">
        <v>64</v>
      </c>
      <c r="U5" s="42" t="s">
        <v>65</v>
      </c>
      <c r="V5" s="42" t="s">
        <v>66</v>
      </c>
      <c r="W5" s="46" t="s">
        <v>67</v>
      </c>
      <c r="X5" s="42" t="s">
        <v>68</v>
      </c>
      <c r="Y5" s="42" t="s">
        <v>69</v>
      </c>
      <c r="Z5" s="42" t="s">
        <v>70</v>
      </c>
      <c r="AA5" s="46" t="s">
        <v>71</v>
      </c>
    </row>
    <row r="6" spans="1:27" ht="15.6">
      <c r="A6" s="40">
        <v>39994</v>
      </c>
      <c r="B6" s="39">
        <v>2401.69</v>
      </c>
      <c r="C6" s="47">
        <v>1.099E-2</v>
      </c>
      <c r="D6" s="43">
        <v>41</v>
      </c>
      <c r="E6" s="48">
        <v>0.3482412321814034</v>
      </c>
      <c r="F6" s="39">
        <v>2100</v>
      </c>
      <c r="G6"/>
      <c r="H6" s="39">
        <f>($D$2-A6)/365</f>
        <v>0.21917808219178081</v>
      </c>
      <c r="I6" s="39" cm="1">
        <f t="array" ref="I6">BS_DELTA("P",$B6,$F6,$E6,$H6,$C6)</f>
        <v>-0.17887825859861795</v>
      </c>
      <c r="J6" s="39">
        <f>1+I6</f>
        <v>0.82112174140138205</v>
      </c>
      <c r="K6" s="39" cm="1">
        <f t="array" ref="K6">BS_Gamma("P",$B6,$F6,$E6,$H6,$C6)</f>
        <v>6.6751555146953977E-4</v>
      </c>
      <c r="L6" s="39" cm="1">
        <f t="array" ref="L6">BS_Theta("P",$B6,$F6,$E6,$H6,$C6)</f>
        <v>-228.29508661605624</v>
      </c>
      <c r="M6" s="39" cm="1">
        <f t="array" ref="M6">BS_Vega("P",$B6,$F6,$E6,$H6,$C6)</f>
        <v>293.88173901468622</v>
      </c>
      <c r="N6" s="49">
        <f>B6+D6</f>
        <v>2442.69</v>
      </c>
      <c r="O6" s="50"/>
      <c r="P6" s="51"/>
      <c r="W6" s="51"/>
      <c r="AA6" s="51"/>
    </row>
    <row r="7" spans="1:27" ht="15.6">
      <c r="A7" s="40">
        <v>39995</v>
      </c>
      <c r="B7" s="39">
        <v>2449.73</v>
      </c>
      <c r="C7" s="47">
        <v>1.085E-2</v>
      </c>
      <c r="D7" s="43">
        <v>32.299999999999997</v>
      </c>
      <c r="E7" s="48">
        <v>0.34714570447899196</v>
      </c>
      <c r="F7" s="39">
        <v>2100</v>
      </c>
      <c r="G7" s="39">
        <f>B7-$B$6</f>
        <v>48.039999999999964</v>
      </c>
      <c r="H7" s="39">
        <f t="shared" ref="H7:H49" si="0">($D$2-A7)/365</f>
        <v>0.21643835616438356</v>
      </c>
      <c r="I7" s="39" cm="1">
        <f t="array" ref="I7">BS_DELTA("P",$B7,$F7,$E7,$H7,$C7)</f>
        <v>-0.14706862093822748</v>
      </c>
      <c r="J7" s="39">
        <f t="shared" ref="J7:J49" si="1">1+I7</f>
        <v>0.85293137906177252</v>
      </c>
      <c r="K7" s="39" cm="1">
        <f t="array" ref="K7">BS_Gamma("P",$B7,$F7,$E7,$H7,$C7)</f>
        <v>5.8159870344938946E-4</v>
      </c>
      <c r="L7" s="39" cm="1">
        <f t="array" ref="L7">BS_Theta("P",$B7,$F7,$E7,$H7,$C7)</f>
        <v>-206.04739765336291</v>
      </c>
      <c r="M7" s="39" cm="1">
        <f t="array" ref="M7">BS_Vega("P",$B7,$F7,$E7,$H7,$C7)</f>
        <v>262.24420114310959</v>
      </c>
      <c r="N7" s="49">
        <f>B7+D7</f>
        <v>2482.0300000000002</v>
      </c>
      <c r="O7" s="52">
        <f>N7-N6</f>
        <v>39.340000000000146</v>
      </c>
      <c r="P7" s="53">
        <f>O7</f>
        <v>39.340000000000146</v>
      </c>
      <c r="Q7" s="39">
        <f>B7-B6</f>
        <v>48.039999999999964</v>
      </c>
      <c r="R7" s="54">
        <f>E7-E6</f>
        <v>-1.0955277024114474E-3</v>
      </c>
      <c r="S7" s="39">
        <f>(A7-A6)/365</f>
        <v>2.7397260273972603E-3</v>
      </c>
      <c r="T7" s="39">
        <f>J6*Q7</f>
        <v>39.446688456922367</v>
      </c>
      <c r="U7" s="39">
        <f xml:space="preserve"> 0.5 * K6 * (Q7 ^ 2) + L6*S7</f>
        <v>0.14479408843525021</v>
      </c>
      <c r="V7" s="39">
        <f t="shared" ref="V7:V49" si="2">M6*R7</f>
        <v>-0.32195558632343979</v>
      </c>
      <c r="W7" s="53">
        <f>V7+T7+U7</f>
        <v>39.269526959034174</v>
      </c>
      <c r="X7" s="39">
        <f>T7</f>
        <v>39.446688456922367</v>
      </c>
      <c r="Y7" s="39">
        <f>U7</f>
        <v>0.14479408843525021</v>
      </c>
      <c r="Z7" s="39">
        <f>+V7</f>
        <v>-0.32195558632343979</v>
      </c>
      <c r="AA7" s="53">
        <f>W7</f>
        <v>39.269526959034174</v>
      </c>
    </row>
    <row r="8" spans="1:27" ht="15.6">
      <c r="A8" s="40">
        <v>39996</v>
      </c>
      <c r="B8" s="39">
        <v>2369.65</v>
      </c>
      <c r="C8" s="47">
        <v>1.072E-2</v>
      </c>
      <c r="D8" s="43">
        <v>47</v>
      </c>
      <c r="E8" s="48">
        <v>0.35220379957348413</v>
      </c>
      <c r="F8" s="39">
        <v>2100</v>
      </c>
      <c r="G8" s="39">
        <f t="shared" ref="G8:G49" si="3">B8-$B$6</f>
        <v>-32.039999999999964</v>
      </c>
      <c r="H8" s="39">
        <f t="shared" si="0"/>
        <v>0.21369863013698631</v>
      </c>
      <c r="I8" s="39" cm="1">
        <f t="array" ref="I8">BS_DELTA("P",$B8,$F8,$E8,$H8,$C8)</f>
        <v>-0.20116882536963809</v>
      </c>
      <c r="J8" s="39">
        <f t="shared" si="1"/>
        <v>0.79883117463036191</v>
      </c>
      <c r="K8" s="39" cm="1">
        <f t="array" ref="K8">BS_Gamma("P",$B8,$F8,$E8,$H8,$C8)</f>
        <v>7.2818109725253551E-4</v>
      </c>
      <c r="L8" s="39" cm="1">
        <f t="array" ref="L8">BS_Theta("P",$B8,$F8,$E8,$H8,$C8)</f>
        <v>-247.99565580866442</v>
      </c>
      <c r="M8" s="39" cm="1">
        <f t="array" ref="M8">BS_Vega("P",$B8,$F8,$E8,$H8,$C8)</f>
        <v>307.75391467686472</v>
      </c>
      <c r="N8" s="49">
        <f t="shared" ref="N8:N48" si="4">B8+D8</f>
        <v>2416.65</v>
      </c>
      <c r="O8" s="52">
        <f t="shared" ref="O8:O49" si="5">N8-N7</f>
        <v>-65.380000000000109</v>
      </c>
      <c r="P8" s="53">
        <f>O8+P7</f>
        <v>-26.039999999999964</v>
      </c>
      <c r="Q8" s="39">
        <f t="shared" ref="Q8:Q49" si="6">B8-B7</f>
        <v>-80.079999999999927</v>
      </c>
      <c r="R8" s="54">
        <f t="shared" ref="R8:R49" si="7">E8-E7</f>
        <v>5.0580950944921765E-3</v>
      </c>
      <c r="S8" s="39">
        <f t="shared" ref="S8:S49" si="8">(A8-A7)/365</f>
        <v>2.7397260273972603E-3</v>
      </c>
      <c r="T8" s="39">
        <f>J7*Q8</f>
        <v>-68.30274483526668</v>
      </c>
      <c r="U8" s="39">
        <f t="shared" ref="U8:U49" si="9" xml:space="preserve"> 0.5 * K7 * (Q8 ^ 2) + L7*S8</f>
        <v>1.3003265256275787</v>
      </c>
      <c r="V8" s="39">
        <f t="shared" si="2"/>
        <v>1.3264561073609822</v>
      </c>
      <c r="W8" s="53">
        <f t="shared" ref="W8:W49" si="10">V8+T8+U8</f>
        <v>-65.675962202278114</v>
      </c>
      <c r="X8" s="39">
        <f>X7+T8</f>
        <v>-28.856056378344313</v>
      </c>
      <c r="Y8" s="39">
        <f>Y7+U8</f>
        <v>1.4451206140628288</v>
      </c>
      <c r="Z8" s="39">
        <f>Z7+V8</f>
        <v>1.0045005210375424</v>
      </c>
      <c r="AA8" s="53">
        <f>AA7+W8</f>
        <v>-26.406435243243941</v>
      </c>
    </row>
    <row r="9" spans="1:27" ht="15.6">
      <c r="A9" s="40">
        <v>39997</v>
      </c>
      <c r="B9" s="39">
        <v>2376.48</v>
      </c>
      <c r="C9" s="47">
        <v>1.0589999999999999E-2</v>
      </c>
      <c r="D9" s="43">
        <v>47.3</v>
      </c>
      <c r="E9" s="48">
        <v>0.35984708446658598</v>
      </c>
      <c r="F9" s="39">
        <v>2100</v>
      </c>
      <c r="G9" s="39">
        <f t="shared" si="3"/>
        <v>-25.210000000000036</v>
      </c>
      <c r="H9" s="39">
        <f t="shared" si="0"/>
        <v>0.21095890410958903</v>
      </c>
      <c r="I9" s="39" cm="1">
        <f t="array" ref="I9">BS_DELTA("P",$B9,$F9,$E9,$H9,$C9)</f>
        <v>-0.19919880718512983</v>
      </c>
      <c r="J9" s="39">
        <f t="shared" si="1"/>
        <v>0.80080119281487017</v>
      </c>
      <c r="K9" s="39" cm="1">
        <f t="array" ref="K9">BS_Gamma("P",$B9,$F9,$E9,$H9,$C9)</f>
        <v>7.1104783409106729E-4</v>
      </c>
      <c r="L9" s="39" cm="1">
        <f t="array" ref="L9">BS_Theta("P",$B9,$F9,$E9,$H9,$C9)</f>
        <v>-254.48573918382968</v>
      </c>
      <c r="M9" s="39" cm="1">
        <f t="array" ref="M9">BS_Vega("P",$B9,$F9,$E9,$H9,$C9)</f>
        <v>304.84775025110781</v>
      </c>
      <c r="N9" s="49">
        <f t="shared" si="4"/>
        <v>2423.7800000000002</v>
      </c>
      <c r="O9" s="52">
        <f t="shared" si="5"/>
        <v>7.1300000000001091</v>
      </c>
      <c r="P9" s="53">
        <f>O9+P8</f>
        <v>-18.909999999999854</v>
      </c>
      <c r="Q9" s="39">
        <f t="shared" si="6"/>
        <v>6.8299999999999272</v>
      </c>
      <c r="R9" s="54">
        <f t="shared" si="7"/>
        <v>7.6432848931018427E-3</v>
      </c>
      <c r="S9" s="39">
        <f t="shared" si="8"/>
        <v>2.7397260273972603E-3</v>
      </c>
      <c r="T9" s="39">
        <f t="shared" ref="T9:T49" si="11">J8*Q9</f>
        <v>5.4560169227253139</v>
      </c>
      <c r="U9" s="39">
        <f t="shared" si="9"/>
        <v>-0.66245572930663887</v>
      </c>
      <c r="V9" s="39">
        <f t="shared" si="2"/>
        <v>2.3522508468426335</v>
      </c>
      <c r="W9" s="53">
        <f t="shared" si="10"/>
        <v>7.1458120402613092</v>
      </c>
      <c r="X9" s="39">
        <f t="shared" ref="X9:AA24" si="12">X8+T9</f>
        <v>-23.400039455618998</v>
      </c>
      <c r="Y9" s="39">
        <f t="shared" si="12"/>
        <v>0.78266488475618989</v>
      </c>
      <c r="Z9" s="39">
        <f t="shared" si="12"/>
        <v>3.3567513678801761</v>
      </c>
      <c r="AA9" s="53">
        <f t="shared" si="12"/>
        <v>-19.260623202982632</v>
      </c>
    </row>
    <row r="10" spans="1:27" ht="15.6">
      <c r="A10" s="40">
        <v>40000</v>
      </c>
      <c r="B10" s="39">
        <v>2343.88</v>
      </c>
      <c r="C10" s="47">
        <v>1.048E-2</v>
      </c>
      <c r="D10" s="43">
        <v>52.5</v>
      </c>
      <c r="E10" s="48">
        <v>0.36151461326878492</v>
      </c>
      <c r="F10" s="39">
        <v>2100</v>
      </c>
      <c r="G10" s="39">
        <f t="shared" si="3"/>
        <v>-57.809999999999945</v>
      </c>
      <c r="H10" s="39">
        <f t="shared" si="0"/>
        <v>0.20273972602739726</v>
      </c>
      <c r="I10" s="39" cm="1">
        <f t="array" ref="I10">BS_DELTA("P",$B10,$F10,$E10,$H10,$C10)</f>
        <v>-0.22082414323601551</v>
      </c>
      <c r="J10" s="39">
        <f t="shared" si="1"/>
        <v>0.77917585676398449</v>
      </c>
      <c r="K10" s="39" cm="1">
        <f t="array" ref="K10">BS_Gamma("P",$B10,$F10,$E10,$H10,$C10)</f>
        <v>7.777304340645918E-4</v>
      </c>
      <c r="L10" s="39" cm="1">
        <f t="array" ref="L10">BS_Theta("P",$B10,$F10,$E10,$H10,$C10)</f>
        <v>-273.22945689515217</v>
      </c>
      <c r="M10" s="39" cm="1">
        <f t="array" ref="M10">BS_Vega("P",$B10,$F10,$E10,$H10,$C10)</f>
        <v>313.15875157508253</v>
      </c>
      <c r="N10" s="49">
        <f t="shared" si="4"/>
        <v>2396.38</v>
      </c>
      <c r="O10" s="52">
        <f t="shared" si="5"/>
        <v>-27.400000000000091</v>
      </c>
      <c r="P10" s="53">
        <f t="shared" ref="P10:P49" si="13">O10+P9</f>
        <v>-46.309999999999945</v>
      </c>
      <c r="Q10" s="39">
        <f t="shared" si="6"/>
        <v>-32.599999999999909</v>
      </c>
      <c r="R10" s="54">
        <f t="shared" si="7"/>
        <v>1.6675288021989476E-3</v>
      </c>
      <c r="S10" s="39">
        <f t="shared" si="8"/>
        <v>8.21917808219178E-3</v>
      </c>
      <c r="T10" s="39">
        <f t="shared" si="11"/>
        <v>-26.106118885764694</v>
      </c>
      <c r="U10" s="39">
        <f t="shared" si="9"/>
        <v>-1.7138270116507976</v>
      </c>
      <c r="V10" s="39">
        <f t="shared" si="2"/>
        <v>0.50834240382927376</v>
      </c>
      <c r="W10" s="53">
        <f t="shared" si="10"/>
        <v>-27.311603493586215</v>
      </c>
      <c r="X10" s="39">
        <f t="shared" si="12"/>
        <v>-49.506158341383696</v>
      </c>
      <c r="Y10" s="39">
        <f t="shared" si="12"/>
        <v>-0.93116212689460776</v>
      </c>
      <c r="Z10" s="39">
        <f t="shared" si="12"/>
        <v>3.86509377170945</v>
      </c>
      <c r="AA10" s="53">
        <f t="shared" si="12"/>
        <v>-46.572226696568848</v>
      </c>
    </row>
    <row r="11" spans="1:27" ht="15.6">
      <c r="A11" s="40">
        <v>40001</v>
      </c>
      <c r="B11" s="39">
        <v>2320.9</v>
      </c>
      <c r="C11" s="47">
        <v>1.044E-2</v>
      </c>
      <c r="D11" s="43">
        <v>58.3</v>
      </c>
      <c r="E11" s="48">
        <v>0.36551387667849183</v>
      </c>
      <c r="F11" s="39">
        <v>2100</v>
      </c>
      <c r="G11" s="39">
        <f t="shared" si="3"/>
        <v>-80.789999999999964</v>
      </c>
      <c r="H11" s="39">
        <f t="shared" si="0"/>
        <v>0.2</v>
      </c>
      <c r="I11" s="39" cm="1">
        <f t="array" ref="I11">BS_DELTA("P",$B11,$F11,$E11,$H11,$C11)</f>
        <v>-0.23997801718103773</v>
      </c>
      <c r="J11" s="39">
        <f t="shared" si="1"/>
        <v>0.76002198281896227</v>
      </c>
      <c r="K11" s="39" cm="1">
        <f t="array" ref="K11">BS_Gamma("P",$B11,$F11,$E11,$H11,$C11)</f>
        <v>8.1938174877613755E-4</v>
      </c>
      <c r="L11" s="39" cm="1">
        <f t="array" ref="L11">BS_Theta("P",$B11,$F11,$E11,$H11,$C11)</f>
        <v>-288.41017332771281</v>
      </c>
      <c r="M11" s="39" cm="1">
        <f t="array" ref="M11">BS_Vega("P",$B11,$F11,$E11,$H11,$C11)</f>
        <v>322.65099470249447</v>
      </c>
      <c r="N11" s="49">
        <f t="shared" si="4"/>
        <v>2379.2000000000003</v>
      </c>
      <c r="O11" s="52">
        <f t="shared" si="5"/>
        <v>-17.179999999999836</v>
      </c>
      <c r="P11" s="53">
        <f t="shared" si="13"/>
        <v>-63.489999999999782</v>
      </c>
      <c r="Q11" s="39">
        <f t="shared" si="6"/>
        <v>-22.980000000000018</v>
      </c>
      <c r="R11" s="54">
        <f t="shared" si="7"/>
        <v>3.9992634097069102E-3</v>
      </c>
      <c r="S11" s="39">
        <f t="shared" si="8"/>
        <v>2.7397260273972603E-3</v>
      </c>
      <c r="T11" s="39">
        <f t="shared" si="11"/>
        <v>-17.905461188436377</v>
      </c>
      <c r="U11" s="39">
        <f t="shared" si="9"/>
        <v>-0.54322175515076432</v>
      </c>
      <c r="V11" s="39">
        <f t="shared" si="2"/>
        <v>1.2524043366037239</v>
      </c>
      <c r="W11" s="53">
        <f t="shared" si="10"/>
        <v>-17.196278606983416</v>
      </c>
      <c r="X11" s="39">
        <f t="shared" si="12"/>
        <v>-67.411619529820072</v>
      </c>
      <c r="Y11" s="39">
        <f t="shared" si="12"/>
        <v>-1.4743838820453721</v>
      </c>
      <c r="Z11" s="39">
        <f t="shared" si="12"/>
        <v>5.1174981083131739</v>
      </c>
      <c r="AA11" s="53">
        <f t="shared" si="12"/>
        <v>-63.76850530355226</v>
      </c>
    </row>
    <row r="12" spans="1:27" ht="15.6">
      <c r="A12" s="40">
        <v>40002</v>
      </c>
      <c r="B12" s="39">
        <v>2291.33</v>
      </c>
      <c r="C12" s="47">
        <v>1.0289999999999999E-2</v>
      </c>
      <c r="D12" s="43">
        <v>65.900000000000006</v>
      </c>
      <c r="E12" s="48">
        <v>0.36833843505045988</v>
      </c>
      <c r="F12" s="39">
        <v>2100</v>
      </c>
      <c r="G12" s="39">
        <f t="shared" si="3"/>
        <v>-110.36000000000013</v>
      </c>
      <c r="H12" s="39">
        <f t="shared" si="0"/>
        <v>0.19726027397260273</v>
      </c>
      <c r="I12" s="39" cm="1">
        <f t="array" ref="I12">BS_DELTA("P",$B12,$F12,$E12,$H12,$C12)</f>
        <v>-0.26526340984382146</v>
      </c>
      <c r="J12" s="39">
        <f t="shared" si="1"/>
        <v>0.73473659015617854</v>
      </c>
      <c r="K12" s="39" cm="1">
        <f t="array" ref="K12">BS_Gamma("P",$B12,$F12,$E12,$H12,$C12)</f>
        <v>8.7424603837296124E-4</v>
      </c>
      <c r="L12" s="39" cm="1">
        <f t="array" ref="L12">BS_Theta("P",$B12,$F12,$E12,$H12,$C12)</f>
        <v>-304.43489123289186</v>
      </c>
      <c r="M12" s="39" cm="1">
        <f t="array" ref="M12">BS_Vega("P",$B12,$F12,$E12,$H12,$C12)</f>
        <v>333.49983711113225</v>
      </c>
      <c r="N12" s="49">
        <f t="shared" si="4"/>
        <v>2357.23</v>
      </c>
      <c r="O12" s="52">
        <f t="shared" si="5"/>
        <v>-21.970000000000255</v>
      </c>
      <c r="P12" s="53">
        <f t="shared" si="13"/>
        <v>-85.460000000000036</v>
      </c>
      <c r="Q12" s="39">
        <f t="shared" si="6"/>
        <v>-29.570000000000164</v>
      </c>
      <c r="R12" s="54">
        <f t="shared" si="7"/>
        <v>2.8245583719680445E-3</v>
      </c>
      <c r="S12" s="39">
        <f t="shared" si="8"/>
        <v>2.7397260273972603E-3</v>
      </c>
      <c r="T12" s="39">
        <f t="shared" si="11"/>
        <v>-22.47385003195684</v>
      </c>
      <c r="U12" s="39">
        <f t="shared" si="9"/>
        <v>-0.43193734419936192</v>
      </c>
      <c r="V12" s="39">
        <f t="shared" si="2"/>
        <v>0.9113465683107479</v>
      </c>
      <c r="W12" s="53">
        <f t="shared" si="10"/>
        <v>-21.994440807845454</v>
      </c>
      <c r="X12" s="39">
        <f t="shared" si="12"/>
        <v>-89.885469561776915</v>
      </c>
      <c r="Y12" s="39">
        <f t="shared" si="12"/>
        <v>-1.906321226244734</v>
      </c>
      <c r="Z12" s="39">
        <f t="shared" si="12"/>
        <v>6.0288446766239217</v>
      </c>
      <c r="AA12" s="53">
        <f t="shared" si="12"/>
        <v>-85.76294611139771</v>
      </c>
    </row>
    <row r="13" spans="1:27" ht="15.6">
      <c r="A13" s="40">
        <v>40003</v>
      </c>
      <c r="B13" s="39">
        <v>2313.87</v>
      </c>
      <c r="C13" s="47">
        <v>1.018E-2</v>
      </c>
      <c r="D13" s="43">
        <v>55.5</v>
      </c>
      <c r="E13" s="48">
        <v>0.35629265878330152</v>
      </c>
      <c r="F13" s="39">
        <v>2100</v>
      </c>
      <c r="G13" s="39">
        <f t="shared" si="3"/>
        <v>-87.820000000000164</v>
      </c>
      <c r="H13" s="39">
        <f t="shared" si="0"/>
        <v>0.19452054794520549</v>
      </c>
      <c r="I13" s="39" cm="1">
        <f t="array" ref="I13">BS_DELTA("P",$B13,$F13,$E13,$H13,$C13)</f>
        <v>-0.23936372850255938</v>
      </c>
      <c r="J13" s="39">
        <f t="shared" si="1"/>
        <v>0.76063627149744062</v>
      </c>
      <c r="K13" s="39" cm="1">
        <f t="array" ref="K13">BS_Gamma("P",$B13,$F13,$E13,$H13,$C13)</f>
        <v>8.5373978120780196E-4</v>
      </c>
      <c r="L13" s="39" cm="1">
        <f t="array" ref="L13">BS_Theta("P",$B13,$F13,$E13,$H13,$C13)</f>
        <v>-283.92310519223344</v>
      </c>
      <c r="M13" s="39" cm="1">
        <f t="array" ref="M13">BS_Vega("P",$B13,$F13,$E13,$H13,$C13)</f>
        <v>316.79315378851464</v>
      </c>
      <c r="N13" s="49">
        <f t="shared" si="4"/>
        <v>2369.37</v>
      </c>
      <c r="O13" s="52">
        <f t="shared" si="5"/>
        <v>12.139999999999873</v>
      </c>
      <c r="P13" s="53">
        <f t="shared" si="13"/>
        <v>-73.320000000000164</v>
      </c>
      <c r="Q13" s="39">
        <f t="shared" si="6"/>
        <v>22.539999999999964</v>
      </c>
      <c r="R13" s="54">
        <f t="shared" si="7"/>
        <v>-1.2045776267158359E-2</v>
      </c>
      <c r="S13" s="39">
        <f t="shared" si="8"/>
        <v>2.7397260273972603E-3</v>
      </c>
      <c r="T13" s="39">
        <f t="shared" si="11"/>
        <v>16.560962742120239</v>
      </c>
      <c r="U13" s="39">
        <f t="shared" si="9"/>
        <v>-0.61198714586408642</v>
      </c>
      <c r="V13" s="39">
        <f t="shared" si="2"/>
        <v>-4.0172644229744554</v>
      </c>
      <c r="W13" s="53">
        <f t="shared" si="10"/>
        <v>11.931711173281697</v>
      </c>
      <c r="X13" s="39">
        <f t="shared" si="12"/>
        <v>-73.324506819656676</v>
      </c>
      <c r="Y13" s="39">
        <f t="shared" si="12"/>
        <v>-2.5183083721088204</v>
      </c>
      <c r="Z13" s="39">
        <f t="shared" si="12"/>
        <v>2.0115802536494662</v>
      </c>
      <c r="AA13" s="53">
        <f t="shared" si="12"/>
        <v>-73.831234938116012</v>
      </c>
    </row>
    <row r="14" spans="1:27" ht="15.6">
      <c r="A14" s="40">
        <v>40004</v>
      </c>
      <c r="B14" s="39">
        <v>2281.4699999999998</v>
      </c>
      <c r="C14" s="47">
        <v>1.0069999999999999E-2</v>
      </c>
      <c r="D14" s="43">
        <v>61.1</v>
      </c>
      <c r="E14" s="48">
        <v>0.35075921342855004</v>
      </c>
      <c r="F14" s="39">
        <v>2100</v>
      </c>
      <c r="G14" s="39">
        <f t="shared" si="3"/>
        <v>-120.22000000000025</v>
      </c>
      <c r="H14" s="39">
        <f t="shared" si="0"/>
        <v>0.19178082191780821</v>
      </c>
      <c r="I14" s="39" cm="1">
        <f t="array" ref="I14">BS_DELTA("P",$B14,$F14,$E14,$H14,$C14)</f>
        <v>-0.26469051071087157</v>
      </c>
      <c r="J14" s="39">
        <f t="shared" si="1"/>
        <v>0.73530948928912843</v>
      </c>
      <c r="K14" s="39" cm="1">
        <f t="array" ref="K14">BS_Gamma("P",$B14,$F14,$E14,$H14,$C14)</f>
        <v>9.3408116215673467E-4</v>
      </c>
      <c r="L14" s="39" cm="1">
        <f t="array" ref="L14">BS_Theta("P",$B14,$F14,$E14,$H14,$C14)</f>
        <v>-292.39390932527994</v>
      </c>
      <c r="M14" s="39" cm="1">
        <f t="array" ref="M14">BS_Vega("P",$B14,$F14,$E14,$H14,$C14)</f>
        <v>327.06072985449225</v>
      </c>
      <c r="N14" s="49">
        <f t="shared" si="4"/>
        <v>2342.5699999999997</v>
      </c>
      <c r="O14" s="52">
        <f t="shared" si="5"/>
        <v>-26.800000000000182</v>
      </c>
      <c r="P14" s="53">
        <f t="shared" si="13"/>
        <v>-100.12000000000035</v>
      </c>
      <c r="Q14" s="39">
        <f t="shared" si="6"/>
        <v>-32.400000000000091</v>
      </c>
      <c r="R14" s="54">
        <f t="shared" si="7"/>
        <v>-5.5334453547514761E-3</v>
      </c>
      <c r="S14" s="39">
        <f t="shared" si="8"/>
        <v>2.7397260273972603E-3</v>
      </c>
      <c r="T14" s="39">
        <f t="shared" si="11"/>
        <v>-24.644615196517144</v>
      </c>
      <c r="U14" s="39">
        <f t="shared" si="9"/>
        <v>-0.32976058471425851</v>
      </c>
      <c r="V14" s="39">
        <f t="shared" si="2"/>
        <v>-1.7529576052481264</v>
      </c>
      <c r="W14" s="53">
        <f t="shared" si="10"/>
        <v>-26.727333386479529</v>
      </c>
      <c r="X14" s="39">
        <f t="shared" si="12"/>
        <v>-97.969122016173827</v>
      </c>
      <c r="Y14" s="39">
        <f t="shared" si="12"/>
        <v>-2.848068956823079</v>
      </c>
      <c r="Z14" s="39">
        <f t="shared" si="12"/>
        <v>0.25862264840133986</v>
      </c>
      <c r="AA14" s="53">
        <f t="shared" si="12"/>
        <v>-100.55856832459554</v>
      </c>
    </row>
    <row r="15" spans="1:27" ht="15.6">
      <c r="A15" s="40">
        <v>40007</v>
      </c>
      <c r="B15" s="39">
        <v>2345.2199999999998</v>
      </c>
      <c r="C15" s="47">
        <v>9.9600000000000001E-3</v>
      </c>
      <c r="D15" s="43">
        <v>44.5</v>
      </c>
      <c r="E15" s="48">
        <v>0.35301288918090989</v>
      </c>
      <c r="F15" s="39">
        <v>2100</v>
      </c>
      <c r="G15" s="39">
        <f t="shared" si="3"/>
        <v>-56.470000000000255</v>
      </c>
      <c r="H15" s="39">
        <f t="shared" si="0"/>
        <v>0.18356164383561643</v>
      </c>
      <c r="I15" s="39" cm="1">
        <f t="array" ref="I15">BS_DELTA("P",$B15,$F15,$E15,$H15,$C15)</f>
        <v>-0.20669909261719543</v>
      </c>
      <c r="J15" s="39">
        <f t="shared" si="1"/>
        <v>0.79330090738280457</v>
      </c>
      <c r="K15" s="39" cm="1">
        <f t="array" ref="K15">BS_Gamma("P",$B15,$F15,$E15,$H15,$C15)</f>
        <v>8.0495577319487737E-4</v>
      </c>
      <c r="L15" s="39" cm="1">
        <f t="array" ref="L15">BS_Theta("P",$B15,$F15,$E15,$H15,$C15)</f>
        <v>-270.58963522311905</v>
      </c>
      <c r="M15" s="39" cm="1">
        <f t="array" ref="M15">BS_Vega("P",$B15,$F15,$E15,$H15,$C15)</f>
        <v>286.88754806501316</v>
      </c>
      <c r="N15" s="49">
        <f t="shared" si="4"/>
        <v>2389.7199999999998</v>
      </c>
      <c r="O15" s="52">
        <f t="shared" si="5"/>
        <v>47.150000000000091</v>
      </c>
      <c r="P15" s="53">
        <f t="shared" si="13"/>
        <v>-52.970000000000255</v>
      </c>
      <c r="Q15" s="39">
        <f t="shared" si="6"/>
        <v>63.75</v>
      </c>
      <c r="R15" s="54">
        <f t="shared" si="7"/>
        <v>2.2536757523598516E-3</v>
      </c>
      <c r="S15" s="39">
        <f t="shared" si="8"/>
        <v>8.21917808219178E-3</v>
      </c>
      <c r="T15" s="39">
        <f t="shared" si="11"/>
        <v>46.875979942181935</v>
      </c>
      <c r="U15" s="39">
        <f t="shared" si="9"/>
        <v>-0.50515549935390913</v>
      </c>
      <c r="V15" s="39">
        <f t="shared" si="2"/>
        <v>0.73708883642218503</v>
      </c>
      <c r="W15" s="53">
        <f t="shared" si="10"/>
        <v>47.107913279250212</v>
      </c>
      <c r="X15" s="39">
        <f t="shared" si="12"/>
        <v>-51.093142073991892</v>
      </c>
      <c r="Y15" s="39">
        <f t="shared" si="12"/>
        <v>-3.3532244561769882</v>
      </c>
      <c r="Z15" s="39">
        <f t="shared" si="12"/>
        <v>0.99571148482352489</v>
      </c>
      <c r="AA15" s="53">
        <f t="shared" si="12"/>
        <v>-53.450655045345329</v>
      </c>
    </row>
    <row r="16" spans="1:27" ht="15.6">
      <c r="A16" s="40">
        <v>40008</v>
      </c>
      <c r="B16" s="39">
        <v>2370.71</v>
      </c>
      <c r="C16" s="47">
        <v>9.8499999999999994E-3</v>
      </c>
      <c r="D16" s="43">
        <v>37.1</v>
      </c>
      <c r="E16" s="48">
        <v>0.34670622416263752</v>
      </c>
      <c r="F16" s="39">
        <v>2100</v>
      </c>
      <c r="G16" s="39">
        <f t="shared" si="3"/>
        <v>-30.980000000000018</v>
      </c>
      <c r="H16" s="39">
        <f t="shared" si="0"/>
        <v>0.18082191780821918</v>
      </c>
      <c r="I16" s="39" cm="1">
        <f t="array" ref="I16">BS_DELTA("P",$B16,$F16,$E16,$H16,$C16)</f>
        <v>-0.18187772231976873</v>
      </c>
      <c r="J16" s="39">
        <f t="shared" si="1"/>
        <v>0.81812227768023127</v>
      </c>
      <c r="K16" s="39" cm="1">
        <f t="array" ref="K16">BS_Gamma("P",$B16,$F16,$E16,$H16,$C16)</f>
        <v>7.5565353395099107E-4</v>
      </c>
      <c r="L16" s="39" cm="1">
        <f t="array" ref="L16">BS_Theta("P",$B16,$F16,$E16,$H16,$C16)</f>
        <v>-250.64162806265676</v>
      </c>
      <c r="M16" s="39" cm="1">
        <f t="array" ref="M16">BS_Vega("P",$B16,$F16,$E16,$H16,$C16)</f>
        <v>266.25163929269019</v>
      </c>
      <c r="N16" s="49">
        <f t="shared" si="4"/>
        <v>2407.81</v>
      </c>
      <c r="O16" s="52">
        <f t="shared" si="5"/>
        <v>18.090000000000146</v>
      </c>
      <c r="P16" s="53">
        <f t="shared" si="13"/>
        <v>-34.880000000000109</v>
      </c>
      <c r="Q16" s="39">
        <f t="shared" si="6"/>
        <v>25.490000000000236</v>
      </c>
      <c r="R16" s="54">
        <f t="shared" si="7"/>
        <v>-6.3066650182723727E-3</v>
      </c>
      <c r="S16" s="39">
        <f t="shared" si="8"/>
        <v>2.7397260273972603E-3</v>
      </c>
      <c r="T16" s="39">
        <f t="shared" si="11"/>
        <v>20.221240129187876</v>
      </c>
      <c r="U16" s="39">
        <f t="shared" si="9"/>
        <v>-0.47983544407909645</v>
      </c>
      <c r="V16" s="39">
        <f t="shared" si="2"/>
        <v>-1.8093036635595525</v>
      </c>
      <c r="W16" s="53">
        <f t="shared" si="10"/>
        <v>17.932101021549226</v>
      </c>
      <c r="X16" s="39">
        <f t="shared" si="12"/>
        <v>-30.871901944804016</v>
      </c>
      <c r="Y16" s="39">
        <f t="shared" si="12"/>
        <v>-3.8330599002560848</v>
      </c>
      <c r="Z16" s="39">
        <f t="shared" si="12"/>
        <v>-0.81359217873602763</v>
      </c>
      <c r="AA16" s="53">
        <f t="shared" si="12"/>
        <v>-35.518554023796099</v>
      </c>
    </row>
    <row r="17" spans="1:27" ht="15.6">
      <c r="A17" s="40">
        <v>40009</v>
      </c>
      <c r="B17" s="39">
        <v>2451.02</v>
      </c>
      <c r="C17" s="47">
        <v>9.7900000000000001E-3</v>
      </c>
      <c r="D17" s="43">
        <v>23.7</v>
      </c>
      <c r="E17" s="48">
        <v>0.34448573616434469</v>
      </c>
      <c r="F17" s="39">
        <v>2100</v>
      </c>
      <c r="G17" s="39">
        <f t="shared" si="3"/>
        <v>49.329999999999927</v>
      </c>
      <c r="H17" s="39">
        <f t="shared" si="0"/>
        <v>0.17808219178082191</v>
      </c>
      <c r="I17" s="39" cm="1">
        <f t="array" ref="I17">BS_DELTA("P",$B17,$F17,$E17,$H17,$C17)</f>
        <v>-0.12549911407570413</v>
      </c>
      <c r="J17" s="39">
        <f t="shared" si="1"/>
        <v>0.87450088592429587</v>
      </c>
      <c r="K17" s="39" cm="1">
        <f t="array" ref="K17">BS_Gamma("P",$B17,$F17,$E17,$H17,$C17)</f>
        <v>5.7934641862691569E-4</v>
      </c>
      <c r="L17" s="39" cm="1">
        <f t="array" ref="L17">BS_Theta("P",$B17,$F17,$E17,$H17,$C17)</f>
        <v>-203.26820179837742</v>
      </c>
      <c r="M17" s="39" cm="1">
        <f t="array" ref="M17">BS_Vega("P",$B17,$F17,$E17,$H17,$C17)</f>
        <v>213.51272976424167</v>
      </c>
      <c r="N17" s="49">
        <f t="shared" si="4"/>
        <v>2474.7199999999998</v>
      </c>
      <c r="O17" s="52">
        <f t="shared" si="5"/>
        <v>66.909999999999854</v>
      </c>
      <c r="P17" s="53">
        <f t="shared" si="13"/>
        <v>32.029999999999745</v>
      </c>
      <c r="Q17" s="39">
        <f t="shared" si="6"/>
        <v>80.309999999999945</v>
      </c>
      <c r="R17" s="54">
        <f t="shared" si="7"/>
        <v>-2.2204879982928305E-3</v>
      </c>
      <c r="S17" s="39">
        <f t="shared" si="8"/>
        <v>2.7397260273972603E-3</v>
      </c>
      <c r="T17" s="39">
        <f t="shared" si="11"/>
        <v>65.703400120499325</v>
      </c>
      <c r="U17" s="39">
        <f t="shared" si="9"/>
        <v>1.750178433484975</v>
      </c>
      <c r="V17" s="39">
        <f t="shared" si="2"/>
        <v>-0.5912085695752104</v>
      </c>
      <c r="W17" s="53">
        <f t="shared" si="10"/>
        <v>66.862369984409085</v>
      </c>
      <c r="X17" s="39">
        <f t="shared" si="12"/>
        <v>34.831498175695309</v>
      </c>
      <c r="Y17" s="39">
        <f t="shared" si="12"/>
        <v>-2.0828814667711097</v>
      </c>
      <c r="Z17" s="39">
        <f t="shared" si="12"/>
        <v>-1.4048007483112381</v>
      </c>
      <c r="AA17" s="53">
        <f t="shared" si="12"/>
        <v>31.343815960612986</v>
      </c>
    </row>
    <row r="18" spans="1:27" ht="15.6">
      <c r="A18" s="40">
        <v>40010</v>
      </c>
      <c r="B18" s="39">
        <v>2458.9699999999998</v>
      </c>
      <c r="C18" s="47">
        <v>9.689999999999999E-3</v>
      </c>
      <c r="D18" s="43">
        <v>22.2</v>
      </c>
      <c r="E18" s="48">
        <v>0.34457483519442694</v>
      </c>
      <c r="F18" s="39">
        <v>2100</v>
      </c>
      <c r="G18" s="39">
        <f t="shared" si="3"/>
        <v>57.279999999999745</v>
      </c>
      <c r="H18" s="39">
        <f t="shared" si="0"/>
        <v>0.17534246575342466</v>
      </c>
      <c r="I18" s="39" cm="1">
        <f t="array" ref="I18">BS_DELTA("P",$B18,$F18,$E18,$H18,$C18)</f>
        <v>-0.11947623554829134</v>
      </c>
      <c r="J18" s="39">
        <f t="shared" si="1"/>
        <v>0.88052376445170866</v>
      </c>
      <c r="K18" s="39" cm="1">
        <f t="array" ref="K18">BS_Gamma("P",$B18,$F18,$E18,$H18,$C18)</f>
        <v>5.6207971306578572E-4</v>
      </c>
      <c r="L18" s="39" cm="1">
        <f t="array" ref="L18">BS_Theta("P",$B18,$F18,$E18,$H18,$C18)</f>
        <v>-198.7010544880527</v>
      </c>
      <c r="M18" s="39" cm="1">
        <f t="array" ref="M18">BS_Vega("P",$B18,$F18,$E18,$H18,$C18)</f>
        <v>205.34069988321085</v>
      </c>
      <c r="N18" s="49">
        <f t="shared" si="4"/>
        <v>2481.1699999999996</v>
      </c>
      <c r="O18" s="52">
        <f t="shared" si="5"/>
        <v>6.4499999999998181</v>
      </c>
      <c r="P18" s="53">
        <f t="shared" si="13"/>
        <v>38.479999999999563</v>
      </c>
      <c r="Q18" s="39">
        <f t="shared" si="6"/>
        <v>7.9499999999998181</v>
      </c>
      <c r="R18" s="54">
        <f t="shared" si="7"/>
        <v>8.9099030082251396E-5</v>
      </c>
      <c r="S18" s="39">
        <f t="shared" si="8"/>
        <v>2.7397260273972603E-3</v>
      </c>
      <c r="T18" s="39">
        <f t="shared" si="11"/>
        <v>6.952282043097993</v>
      </c>
      <c r="U18" s="39">
        <f t="shared" si="9"/>
        <v>-0.53859111199762022</v>
      </c>
      <c r="V18" s="39">
        <f t="shared" si="2"/>
        <v>1.9023777132207782E-2</v>
      </c>
      <c r="W18" s="53">
        <f t="shared" si="10"/>
        <v>6.4327147082325808</v>
      </c>
      <c r="X18" s="39">
        <f t="shared" si="12"/>
        <v>41.783780218793304</v>
      </c>
      <c r="Y18" s="39">
        <f t="shared" si="12"/>
        <v>-2.6214725787687301</v>
      </c>
      <c r="Z18" s="39">
        <f t="shared" si="12"/>
        <v>-1.3857769711790304</v>
      </c>
      <c r="AA18" s="53">
        <f t="shared" si="12"/>
        <v>37.776530668845567</v>
      </c>
    </row>
    <row r="19" spans="1:27" ht="15.6">
      <c r="A19" s="40">
        <v>40011</v>
      </c>
      <c r="B19" s="39">
        <v>2469.1999999999998</v>
      </c>
      <c r="C19" s="47">
        <v>9.5399999999999999E-3</v>
      </c>
      <c r="D19" s="43">
        <v>19.5</v>
      </c>
      <c r="E19" s="48">
        <v>0.33948558816649727</v>
      </c>
      <c r="F19" s="39">
        <v>2100</v>
      </c>
      <c r="G19" s="39">
        <f t="shared" si="3"/>
        <v>67.509999999999764</v>
      </c>
      <c r="H19" s="39">
        <f t="shared" si="0"/>
        <v>0.17260273972602741</v>
      </c>
      <c r="I19" s="39" cm="1">
        <f t="array" ref="I19">BS_DELTA("P",$B19,$F19,$E19,$H19,$C19)</f>
        <v>-0.10925642712740946</v>
      </c>
      <c r="J19" s="39">
        <f t="shared" si="1"/>
        <v>0.89074357287259054</v>
      </c>
      <c r="K19" s="39" cm="1">
        <f t="array" ref="K19">BS_Gamma("P",$B19,$F19,$E19,$H19,$C19)</f>
        <v>5.3730834586919181E-4</v>
      </c>
      <c r="L19" s="39" cm="1">
        <f t="array" ref="L19">BS_Theta("P",$B19,$F19,$E19,$H19,$C19)</f>
        <v>-186.01719072258663</v>
      </c>
      <c r="M19" s="39" cm="1">
        <f t="array" ref="M19">BS_Vega("P",$B19,$F19,$E19,$H19,$C19)</f>
        <v>191.95752880537347</v>
      </c>
      <c r="N19" s="49">
        <f t="shared" si="4"/>
        <v>2488.6999999999998</v>
      </c>
      <c r="O19" s="52">
        <f t="shared" si="5"/>
        <v>7.5300000000002001</v>
      </c>
      <c r="P19" s="53">
        <f t="shared" si="13"/>
        <v>46.009999999999764</v>
      </c>
      <c r="Q19" s="39">
        <f t="shared" si="6"/>
        <v>10.230000000000018</v>
      </c>
      <c r="R19" s="54">
        <f t="shared" si="7"/>
        <v>-5.0892470279296775E-3</v>
      </c>
      <c r="S19" s="39">
        <f t="shared" si="8"/>
        <v>2.7397260273972603E-3</v>
      </c>
      <c r="T19" s="39">
        <f t="shared" si="11"/>
        <v>9.0077581103409958</v>
      </c>
      <c r="U19" s="39">
        <f t="shared" si="9"/>
        <v>-0.51497481465044781</v>
      </c>
      <c r="V19" s="39">
        <f t="shared" si="2"/>
        <v>-1.0450295465936308</v>
      </c>
      <c r="W19" s="53">
        <f t="shared" si="10"/>
        <v>7.4477537490969175</v>
      </c>
      <c r="X19" s="39">
        <f t="shared" si="12"/>
        <v>50.791538329134298</v>
      </c>
      <c r="Y19" s="39">
        <f t="shared" si="12"/>
        <v>-3.1364473934191777</v>
      </c>
      <c r="Z19" s="39">
        <f t="shared" si="12"/>
        <v>-2.4308065177726612</v>
      </c>
      <c r="AA19" s="53">
        <f t="shared" si="12"/>
        <v>45.224284417942485</v>
      </c>
    </row>
    <row r="20" spans="1:27" ht="15.6">
      <c r="A20" s="40">
        <v>40014</v>
      </c>
      <c r="B20" s="39">
        <v>2500.69</v>
      </c>
      <c r="C20" s="47">
        <v>9.4399999999999987E-3</v>
      </c>
      <c r="D20" s="43">
        <v>16.5</v>
      </c>
      <c r="E20" s="48">
        <v>0.34881913240568135</v>
      </c>
      <c r="F20" s="39">
        <v>2100</v>
      </c>
      <c r="G20" s="39">
        <f t="shared" si="3"/>
        <v>99</v>
      </c>
      <c r="H20" s="39">
        <f t="shared" si="0"/>
        <v>0.16438356164383561</v>
      </c>
      <c r="I20" s="39" cm="1">
        <f t="array" ref="I20">BS_DELTA("P",$B20,$F20,$E20,$H20,$C20)</f>
        <v>-9.4009817171062937E-2</v>
      </c>
      <c r="J20" s="39">
        <f t="shared" si="1"/>
        <v>0.90599018282893706</v>
      </c>
      <c r="K20" s="39" cm="1">
        <f t="array" ref="K20">BS_Gamma("P",$B20,$F20,$E20,$H20,$C20)</f>
        <v>4.7423096845171278E-4</v>
      </c>
      <c r="L20" s="39" cm="1">
        <f t="array" ref="L20">BS_Theta("P",$B20,$F20,$E20,$H20,$C20)</f>
        <v>-178.04314600669281</v>
      </c>
      <c r="M20" s="39" cm="1">
        <f t="array" ref="M20">BS_Vega("P",$B20,$F20,$E20,$H20,$C20)</f>
        <v>170.04673959990038</v>
      </c>
      <c r="N20" s="49">
        <f t="shared" si="4"/>
        <v>2517.19</v>
      </c>
      <c r="O20" s="52">
        <f t="shared" si="5"/>
        <v>28.490000000000236</v>
      </c>
      <c r="P20" s="53">
        <f t="shared" si="13"/>
        <v>74.5</v>
      </c>
      <c r="Q20" s="39">
        <f t="shared" si="6"/>
        <v>31.490000000000236</v>
      </c>
      <c r="R20" s="54">
        <f t="shared" si="7"/>
        <v>9.3335442391840884E-3</v>
      </c>
      <c r="S20" s="39">
        <f t="shared" si="8"/>
        <v>8.21917808219178E-3</v>
      </c>
      <c r="T20" s="39">
        <f t="shared" si="11"/>
        <v>28.049515109758087</v>
      </c>
      <c r="U20" s="39">
        <f t="shared" si="9"/>
        <v>-1.2625055390671469</v>
      </c>
      <c r="V20" s="39">
        <f t="shared" si="2"/>
        <v>1.7916440871494073</v>
      </c>
      <c r="W20" s="53">
        <f t="shared" si="10"/>
        <v>28.578653657840349</v>
      </c>
      <c r="X20" s="39">
        <f t="shared" si="12"/>
        <v>78.841053438892388</v>
      </c>
      <c r="Y20" s="39">
        <f t="shared" si="12"/>
        <v>-4.3989529324863241</v>
      </c>
      <c r="Z20" s="39">
        <f t="shared" si="12"/>
        <v>-0.63916243062325395</v>
      </c>
      <c r="AA20" s="53">
        <f t="shared" si="12"/>
        <v>73.802938075782833</v>
      </c>
    </row>
    <row r="21" spans="1:27" ht="15.6">
      <c r="A21" s="40">
        <v>40015</v>
      </c>
      <c r="B21" s="39">
        <v>2519.9899999999998</v>
      </c>
      <c r="C21" s="47">
        <v>9.3699999999999999E-3</v>
      </c>
      <c r="D21" s="43">
        <v>14.6</v>
      </c>
      <c r="E21" s="48">
        <v>0.35061953723934824</v>
      </c>
      <c r="F21" s="39">
        <v>2100</v>
      </c>
      <c r="G21" s="39">
        <f t="shared" si="3"/>
        <v>118.29999999999973</v>
      </c>
      <c r="H21" s="39">
        <f t="shared" si="0"/>
        <v>0.16164383561643836</v>
      </c>
      <c r="I21" s="39" cm="1">
        <f t="array" ref="I21">BS_DELTA("P",$B21,$F21,$E21,$H21,$C21)</f>
        <v>-8.4632684526149582E-2</v>
      </c>
      <c r="J21" s="39">
        <f t="shared" si="1"/>
        <v>0.91536731547385042</v>
      </c>
      <c r="K21" s="39" cm="1">
        <f t="array" ref="K21">BS_Gamma("P",$B21,$F21,$E21,$H21,$C21)</f>
        <v>4.3662580769117978E-4</v>
      </c>
      <c r="L21" s="39" cm="1">
        <f t="array" ref="L21">BS_Theta("P",$B21,$F21,$E21,$H21,$C21)</f>
        <v>-168.2960893702591</v>
      </c>
      <c r="M21" s="39" cm="1">
        <f t="array" ref="M21">BS_Vega("P",$B21,$F21,$E21,$H21,$C21)</f>
        <v>157.14562558418768</v>
      </c>
      <c r="N21" s="49">
        <f t="shared" si="4"/>
        <v>2534.5899999999997</v>
      </c>
      <c r="O21" s="52">
        <f t="shared" si="5"/>
        <v>17.399999999999636</v>
      </c>
      <c r="P21" s="53">
        <f t="shared" si="13"/>
        <v>91.899999999999636</v>
      </c>
      <c r="Q21" s="39">
        <f t="shared" si="6"/>
        <v>19.299999999999727</v>
      </c>
      <c r="R21" s="54">
        <f t="shared" si="7"/>
        <v>1.800404833666891E-3</v>
      </c>
      <c r="S21" s="39">
        <f t="shared" si="8"/>
        <v>2.7397260273972603E-3</v>
      </c>
      <c r="T21" s="39">
        <f t="shared" si="11"/>
        <v>17.485610528598237</v>
      </c>
      <c r="U21" s="39">
        <f t="shared" si="9"/>
        <v>-0.39946629439494014</v>
      </c>
      <c r="V21" s="39">
        <f t="shared" si="2"/>
        <v>0.30615297192495577</v>
      </c>
      <c r="W21" s="53">
        <f t="shared" si="10"/>
        <v>17.392297206128251</v>
      </c>
      <c r="X21" s="39">
        <f t="shared" si="12"/>
        <v>96.326663967490617</v>
      </c>
      <c r="Y21" s="39">
        <f t="shared" si="12"/>
        <v>-4.798419226881264</v>
      </c>
      <c r="Z21" s="39">
        <f t="shared" si="12"/>
        <v>-0.33300945869829818</v>
      </c>
      <c r="AA21" s="53">
        <f t="shared" si="12"/>
        <v>91.195235281911081</v>
      </c>
    </row>
    <row r="22" spans="1:27" ht="15.6">
      <c r="A22" s="40">
        <v>40016</v>
      </c>
      <c r="B22" s="39">
        <v>2528.85</v>
      </c>
      <c r="C22" s="47">
        <v>9.3299999999999998E-3</v>
      </c>
      <c r="D22" s="43">
        <v>14</v>
      </c>
      <c r="E22" s="48">
        <v>0.35446092107140453</v>
      </c>
      <c r="F22" s="39">
        <v>2100</v>
      </c>
      <c r="G22" s="39">
        <f t="shared" si="3"/>
        <v>127.15999999999985</v>
      </c>
      <c r="H22" s="39">
        <f t="shared" si="0"/>
        <v>0.15890410958904111</v>
      </c>
      <c r="I22" s="39" cm="1">
        <f t="array" ref="I22">BS_DELTA("P",$B22,$F22,$E22,$H22,$C22)</f>
        <v>-8.1314125968764306E-2</v>
      </c>
      <c r="J22" s="39">
        <f t="shared" si="1"/>
        <v>0.91868587403123569</v>
      </c>
      <c r="K22" s="39" cm="1">
        <f t="array" ref="K22">BS_Gamma("P",$B22,$F22,$E22,$H22,$C22)</f>
        <v>4.2120873200371037E-4</v>
      </c>
      <c r="L22" s="39" cm="1">
        <f t="array" ref="L22">BS_Theta("P",$B22,$F22,$E22,$H22,$C22)</f>
        <v>-167.17027265509927</v>
      </c>
      <c r="M22" s="39" cm="1">
        <f t="array" ref="M22">BS_Vega("P",$B22,$F22,$E22,$H22,$C22)</f>
        <v>151.72145401529832</v>
      </c>
      <c r="N22" s="49">
        <f t="shared" si="4"/>
        <v>2542.85</v>
      </c>
      <c r="O22" s="52">
        <f t="shared" si="5"/>
        <v>8.2600000000002183</v>
      </c>
      <c r="P22" s="53">
        <f t="shared" si="13"/>
        <v>100.15999999999985</v>
      </c>
      <c r="Q22" s="39">
        <f t="shared" si="6"/>
        <v>8.8600000000001273</v>
      </c>
      <c r="R22" s="54">
        <f t="shared" si="7"/>
        <v>3.8413838320562887E-3</v>
      </c>
      <c r="S22" s="39">
        <f t="shared" si="8"/>
        <v>2.7397260273972603E-3</v>
      </c>
      <c r="T22" s="39">
        <f t="shared" si="11"/>
        <v>8.1101544150984317</v>
      </c>
      <c r="U22" s="39">
        <f t="shared" si="9"/>
        <v>-0.44394770073015649</v>
      </c>
      <c r="V22" s="39">
        <f t="shared" si="2"/>
        <v>0.60365666539746965</v>
      </c>
      <c r="W22" s="53">
        <f t="shared" si="10"/>
        <v>8.269863379765745</v>
      </c>
      <c r="X22" s="39">
        <f t="shared" si="12"/>
        <v>104.43681838258905</v>
      </c>
      <c r="Y22" s="39">
        <f t="shared" si="12"/>
        <v>-5.2423669276114202</v>
      </c>
      <c r="Z22" s="39">
        <f t="shared" si="12"/>
        <v>0.27064720669917147</v>
      </c>
      <c r="AA22" s="53">
        <f t="shared" si="12"/>
        <v>99.465098661676819</v>
      </c>
    </row>
    <row r="23" spans="1:27" ht="15.6">
      <c r="A23" s="40">
        <v>40017</v>
      </c>
      <c r="B23" s="39">
        <v>2585.79</v>
      </c>
      <c r="C23" s="47">
        <v>9.2700000000000005E-3</v>
      </c>
      <c r="D23" s="43">
        <v>9.3000000000000007</v>
      </c>
      <c r="E23" s="48">
        <v>0.35166765117482168</v>
      </c>
      <c r="F23" s="39">
        <v>2100</v>
      </c>
      <c r="G23" s="39">
        <f t="shared" si="3"/>
        <v>184.09999999999991</v>
      </c>
      <c r="H23" s="39">
        <f t="shared" si="0"/>
        <v>0.15616438356164383</v>
      </c>
      <c r="I23" s="39" cm="1">
        <f t="array" ref="I23">BS_DELTA("P",$B23,$F23,$E23,$H23,$C23)</f>
        <v>-5.7363890501550996E-2</v>
      </c>
      <c r="J23" s="39">
        <f t="shared" si="1"/>
        <v>0.942636109498449</v>
      </c>
      <c r="K23" s="39" cm="1">
        <f t="array" ref="K23">BS_Gamma("P",$B23,$F23,$E23,$H23,$C23)</f>
        <v>3.2000880002391104E-4</v>
      </c>
      <c r="L23" s="39" cm="1">
        <f t="array" ref="L23">BS_Theta("P",$B23,$F23,$E23,$H23,$C23)</f>
        <v>-130.84589739191273</v>
      </c>
      <c r="M23" s="39" cm="1">
        <f t="array" ref="M23">BS_Vega("P",$B23,$F23,$E23,$H23,$C23)</f>
        <v>117.5067558655153</v>
      </c>
      <c r="N23" s="49">
        <f t="shared" si="4"/>
        <v>2595.09</v>
      </c>
      <c r="O23" s="52">
        <f t="shared" si="5"/>
        <v>52.240000000000236</v>
      </c>
      <c r="P23" s="53">
        <f t="shared" si="13"/>
        <v>152.40000000000009</v>
      </c>
      <c r="Q23" s="39">
        <f t="shared" si="6"/>
        <v>56.940000000000055</v>
      </c>
      <c r="R23" s="54">
        <f t="shared" si="7"/>
        <v>-2.7932698965828506E-3</v>
      </c>
      <c r="S23" s="39">
        <f t="shared" si="8"/>
        <v>2.7397260273972603E-3</v>
      </c>
      <c r="T23" s="39">
        <f t="shared" si="11"/>
        <v>52.30997366733861</v>
      </c>
      <c r="U23" s="39">
        <f t="shared" si="9"/>
        <v>0.22481306245202176</v>
      </c>
      <c r="V23" s="39">
        <f t="shared" si="2"/>
        <v>-0.42379897016671209</v>
      </c>
      <c r="W23" s="53">
        <f t="shared" si="10"/>
        <v>52.110987759623917</v>
      </c>
      <c r="X23" s="39">
        <f t="shared" si="12"/>
        <v>156.74679204992765</v>
      </c>
      <c r="Y23" s="39">
        <f t="shared" si="12"/>
        <v>-5.0175538651593987</v>
      </c>
      <c r="Z23" s="39">
        <f t="shared" si="12"/>
        <v>-0.15315176346754061</v>
      </c>
      <c r="AA23" s="53">
        <f t="shared" si="12"/>
        <v>151.57608642130074</v>
      </c>
    </row>
    <row r="24" spans="1:27" ht="15.6">
      <c r="A24" s="40">
        <v>40018</v>
      </c>
      <c r="B24" s="39">
        <v>2582.7600000000002</v>
      </c>
      <c r="C24" s="47">
        <v>9.2100000000000012E-3</v>
      </c>
      <c r="D24" s="43">
        <v>9.9</v>
      </c>
      <c r="E24" s="48">
        <v>0.35830891611044402</v>
      </c>
      <c r="F24" s="39">
        <v>2100</v>
      </c>
      <c r="G24" s="39">
        <f t="shared" si="3"/>
        <v>181.07000000000016</v>
      </c>
      <c r="H24" s="39">
        <f t="shared" si="0"/>
        <v>0.15342465753424658</v>
      </c>
      <c r="I24" s="39" cm="1">
        <f t="array" ref="I24">BS_DELTA("P",$B24,$F24,$E24,$H24,$C24)</f>
        <v>-6.0021919560290238E-2</v>
      </c>
      <c r="J24" s="39">
        <f t="shared" si="1"/>
        <v>0.93997808043970976</v>
      </c>
      <c r="K24" s="39" cm="1">
        <f t="array" ref="K24">BS_Gamma("P",$B24,$F24,$E24,$H24,$C24)</f>
        <v>3.2872328590658991E-4</v>
      </c>
      <c r="L24" s="39" cm="1">
        <f t="array" ref="L24">BS_Theta("P",$B24,$F24,$E24,$H24,$C24)</f>
        <v>-139.2425409923967</v>
      </c>
      <c r="M24" s="39" cm="1">
        <f t="array" ref="M24">BS_Vega("P",$B24,$F24,$E24,$H24,$C24)</f>
        <v>120.5455966038124</v>
      </c>
      <c r="N24" s="49">
        <f t="shared" si="4"/>
        <v>2592.6600000000003</v>
      </c>
      <c r="O24" s="52">
        <f t="shared" si="5"/>
        <v>-2.4299999999998363</v>
      </c>
      <c r="P24" s="53">
        <f t="shared" si="13"/>
        <v>149.97000000000025</v>
      </c>
      <c r="Q24" s="39">
        <f t="shared" si="6"/>
        <v>-3.0299999999997453</v>
      </c>
      <c r="R24" s="54">
        <f t="shared" si="7"/>
        <v>6.6412649356223374E-3</v>
      </c>
      <c r="S24" s="39">
        <f t="shared" si="8"/>
        <v>2.7397260273972603E-3</v>
      </c>
      <c r="T24" s="39">
        <f t="shared" si="11"/>
        <v>-2.8561874117800605</v>
      </c>
      <c r="U24" s="39">
        <f t="shared" si="9"/>
        <v>-0.35701292626670511</v>
      </c>
      <c r="V24" s="39">
        <f t="shared" si="2"/>
        <v>0.78039349742838116</v>
      </c>
      <c r="W24" s="53">
        <f t="shared" si="10"/>
        <v>-2.4328068406183845</v>
      </c>
      <c r="X24" s="39">
        <f t="shared" si="12"/>
        <v>153.89060463814758</v>
      </c>
      <c r="Y24" s="39">
        <f t="shared" si="12"/>
        <v>-5.3745667914261039</v>
      </c>
      <c r="Z24" s="39">
        <f t="shared" si="12"/>
        <v>0.62724173396084049</v>
      </c>
      <c r="AA24" s="53">
        <f t="shared" si="12"/>
        <v>149.14327958068236</v>
      </c>
    </row>
    <row r="25" spans="1:27" ht="15.6">
      <c r="A25" s="40">
        <v>40021</v>
      </c>
      <c r="B25" s="39">
        <v>2601.41</v>
      </c>
      <c r="C25" s="47">
        <v>9.1400000000000006E-3</v>
      </c>
      <c r="D25" s="43">
        <v>9</v>
      </c>
      <c r="E25" s="48">
        <v>0.36968909052708099</v>
      </c>
      <c r="F25" s="39">
        <v>2100</v>
      </c>
      <c r="G25" s="39">
        <f t="shared" si="3"/>
        <v>199.7199999999998</v>
      </c>
      <c r="H25" s="39">
        <f t="shared" si="0"/>
        <v>0.14520547945205478</v>
      </c>
      <c r="I25" s="39" cm="1">
        <f t="array" ref="I25">BS_DELTA("P",$B25,$F25,$E25,$H25,$C25)</f>
        <v>-5.4823655098640622E-2</v>
      </c>
      <c r="J25" s="39">
        <f t="shared" si="1"/>
        <v>0.94517634490135938</v>
      </c>
      <c r="K25" s="39" cm="1">
        <f t="array" ref="K25">BS_Gamma("P",$B25,$F25,$E25,$H25,$C25)</f>
        <v>3.0278110886497336E-4</v>
      </c>
      <c r="L25" s="39" cm="1">
        <f t="array" ref="L25">BS_Theta("P",$B25,$F25,$E25,$H25,$C25)</f>
        <v>-138.63407080860355</v>
      </c>
      <c r="M25" s="39" cm="1">
        <f t="array" ref="M25">BS_Vega("P",$B25,$F25,$E25,$H25,$C25)</f>
        <v>109.99324781530574</v>
      </c>
      <c r="N25" s="49">
        <f t="shared" si="4"/>
        <v>2610.41</v>
      </c>
      <c r="O25" s="52">
        <f t="shared" si="5"/>
        <v>17.749999999999545</v>
      </c>
      <c r="P25" s="53">
        <f t="shared" si="13"/>
        <v>167.7199999999998</v>
      </c>
      <c r="Q25" s="39">
        <f t="shared" si="6"/>
        <v>18.649999999999636</v>
      </c>
      <c r="R25" s="54">
        <f t="shared" si="7"/>
        <v>1.1380174416636968E-2</v>
      </c>
      <c r="S25" s="39">
        <f t="shared" si="8"/>
        <v>8.21917808219178E-3</v>
      </c>
      <c r="T25" s="39">
        <f t="shared" si="11"/>
        <v>17.530591200200245</v>
      </c>
      <c r="U25" s="39">
        <f t="shared" si="9"/>
        <v>-1.0872905634772771</v>
      </c>
      <c r="V25" s="39">
        <f t="shared" si="2"/>
        <v>1.3718299145089461</v>
      </c>
      <c r="W25" s="53">
        <f t="shared" si="10"/>
        <v>17.815130551231913</v>
      </c>
      <c r="X25" s="39">
        <f t="shared" ref="X25:AA40" si="14">X24+T25</f>
        <v>171.42119583834781</v>
      </c>
      <c r="Y25" s="39">
        <f t="shared" si="14"/>
        <v>-6.4618573549033815</v>
      </c>
      <c r="Z25" s="39">
        <f t="shared" si="14"/>
        <v>1.9990716484697866</v>
      </c>
      <c r="AA25" s="53">
        <f t="shared" si="14"/>
        <v>166.95841013191426</v>
      </c>
    </row>
    <row r="26" spans="1:27" ht="15.6">
      <c r="A26" s="40">
        <v>40022</v>
      </c>
      <c r="B26" s="39">
        <v>2573.08</v>
      </c>
      <c r="C26" s="47">
        <v>9.0799999999999995E-3</v>
      </c>
      <c r="D26" s="43">
        <v>10</v>
      </c>
      <c r="E26" s="48">
        <v>0.36749648268388113</v>
      </c>
      <c r="F26" s="39">
        <v>2100</v>
      </c>
      <c r="G26" s="39">
        <f t="shared" si="3"/>
        <v>171.38999999999987</v>
      </c>
      <c r="H26" s="39">
        <f t="shared" si="0"/>
        <v>0.14246575342465753</v>
      </c>
      <c r="I26" s="39" cm="1">
        <f t="array" ref="I26">BS_DELTA("P",$B26,$F26,$E26,$H26,$C26)</f>
        <v>-6.1371427676815582E-2</v>
      </c>
      <c r="J26" s="39">
        <f t="shared" si="1"/>
        <v>0.93862857232318442</v>
      </c>
      <c r="K26" s="39" cm="1">
        <f t="array" ref="K26">BS_Gamma("P",$B26,$F26,$E26,$H26,$C26)</f>
        <v>3.3971180293275926E-4</v>
      </c>
      <c r="L26" s="39" cm="1">
        <f t="array" ref="L26">BS_Theta("P",$B26,$F26,$E26,$H26,$C26)</f>
        <v>-150.35289796705615</v>
      </c>
      <c r="M26" s="39" cm="1">
        <f t="array" ref="M26">BS_Vega("P",$B26,$F26,$E26,$H26,$C26)</f>
        <v>117.75541313678015</v>
      </c>
      <c r="N26" s="49">
        <f t="shared" si="4"/>
        <v>2583.08</v>
      </c>
      <c r="O26" s="52">
        <f t="shared" si="5"/>
        <v>-27.329999999999927</v>
      </c>
      <c r="P26" s="53">
        <f t="shared" si="13"/>
        <v>140.38999999999987</v>
      </c>
      <c r="Q26" s="39">
        <f t="shared" si="6"/>
        <v>-28.329999999999927</v>
      </c>
      <c r="R26" s="54">
        <f t="shared" si="7"/>
        <v>-2.1926078431998564E-3</v>
      </c>
      <c r="S26" s="39">
        <f t="shared" si="8"/>
        <v>2.7397260273972603E-3</v>
      </c>
      <c r="T26" s="39">
        <f t="shared" si="11"/>
        <v>-26.776845851055441</v>
      </c>
      <c r="U26" s="39">
        <f t="shared" si="9"/>
        <v>-0.25831499352600695</v>
      </c>
      <c r="V26" s="39">
        <f t="shared" si="2"/>
        <v>-0.24117205785886484</v>
      </c>
      <c r="W26" s="53">
        <f t="shared" si="10"/>
        <v>-27.276332902440313</v>
      </c>
      <c r="X26" s="39">
        <f t="shared" si="14"/>
        <v>144.64434998729237</v>
      </c>
      <c r="Y26" s="39">
        <f t="shared" si="14"/>
        <v>-6.7201723484293883</v>
      </c>
      <c r="Z26" s="39">
        <f t="shared" si="14"/>
        <v>1.7578995906109218</v>
      </c>
      <c r="AA26" s="53">
        <f t="shared" si="14"/>
        <v>139.68207722947395</v>
      </c>
    </row>
    <row r="27" spans="1:27" ht="15.6">
      <c r="A27" s="40">
        <v>40023</v>
      </c>
      <c r="B27" s="39">
        <v>2600.31</v>
      </c>
      <c r="C27" s="47">
        <v>9.0299999999999998E-3</v>
      </c>
      <c r="D27" s="43">
        <v>8.6</v>
      </c>
      <c r="E27" s="48">
        <v>0.37247030192903946</v>
      </c>
      <c r="F27" s="39">
        <v>2100</v>
      </c>
      <c r="G27" s="39">
        <f t="shared" si="3"/>
        <v>198.61999999999989</v>
      </c>
      <c r="H27" s="39">
        <f t="shared" si="0"/>
        <v>0.13972602739726028</v>
      </c>
      <c r="I27" s="39" cm="1">
        <f t="array" ref="I27">BS_DELTA("P",$B27,$F27,$E27,$H27,$C27)</f>
        <v>-5.331708012676506E-2</v>
      </c>
      <c r="J27" s="39">
        <f t="shared" si="1"/>
        <v>0.94668291987323494</v>
      </c>
      <c r="K27" s="39" cm="1">
        <f t="array" ref="K27">BS_Gamma("P",$B27,$F27,$E27,$H27,$C27)</f>
        <v>2.9980002805696606E-4</v>
      </c>
      <c r="L27" s="39" cm="1">
        <f t="array" ref="L27">BS_Theta("P",$B27,$F27,$E27,$H27,$C27)</f>
        <v>-139.28657235965397</v>
      </c>
      <c r="M27" s="39" cm="1">
        <f t="array" ref="M27">BS_Vega("P",$B27,$F27,$E27,$H27,$C27)</f>
        <v>105.49961726277998</v>
      </c>
      <c r="N27" s="49">
        <f t="shared" si="4"/>
        <v>2608.91</v>
      </c>
      <c r="O27" s="52">
        <f t="shared" si="5"/>
        <v>25.829999999999927</v>
      </c>
      <c r="P27" s="53">
        <f t="shared" si="13"/>
        <v>166.2199999999998</v>
      </c>
      <c r="Q27" s="39">
        <f t="shared" si="6"/>
        <v>27.230000000000018</v>
      </c>
      <c r="R27" s="54">
        <f t="shared" si="7"/>
        <v>4.9738192451583285E-3</v>
      </c>
      <c r="S27" s="39">
        <f t="shared" si="8"/>
        <v>2.7397260273972603E-3</v>
      </c>
      <c r="T27" s="39">
        <f t="shared" si="11"/>
        <v>25.558856024360328</v>
      </c>
      <c r="U27" s="39">
        <f t="shared" si="9"/>
        <v>-0.28598220001255742</v>
      </c>
      <c r="V27" s="39">
        <f t="shared" si="2"/>
        <v>0.58569414008128695</v>
      </c>
      <c r="W27" s="53">
        <f t="shared" si="10"/>
        <v>25.858567964429056</v>
      </c>
      <c r="X27" s="39">
        <f t="shared" si="14"/>
        <v>170.2032060116527</v>
      </c>
      <c r="Y27" s="39">
        <f t="shared" si="14"/>
        <v>-7.0061545484419456</v>
      </c>
      <c r="Z27" s="39">
        <f t="shared" si="14"/>
        <v>2.3435937306922088</v>
      </c>
      <c r="AA27" s="53">
        <f t="shared" si="14"/>
        <v>165.540645193903</v>
      </c>
    </row>
    <row r="28" spans="1:27" ht="15.6">
      <c r="A28" s="40">
        <v>40024</v>
      </c>
      <c r="B28" s="39">
        <v>2654.74</v>
      </c>
      <c r="C28" s="47">
        <v>8.9899999999999997E-3</v>
      </c>
      <c r="D28" s="43">
        <v>6.3</v>
      </c>
      <c r="E28" s="48">
        <v>0.37846690584708031</v>
      </c>
      <c r="F28" s="39">
        <v>2100</v>
      </c>
      <c r="G28" s="39">
        <f t="shared" si="3"/>
        <v>253.04999999999973</v>
      </c>
      <c r="H28" s="39">
        <f t="shared" si="0"/>
        <v>0.13698630136986301</v>
      </c>
      <c r="I28" s="39" cm="1">
        <f t="array" ref="I28">BS_DELTA("P",$B28,$F28,$E28,$H28,$C28)</f>
        <v>-3.9864232807081179E-2</v>
      </c>
      <c r="J28" s="39">
        <f t="shared" si="1"/>
        <v>0.96013576719291882</v>
      </c>
      <c r="K28" s="39" cm="1">
        <f t="array" ref="K28">BS_Gamma("P",$B28,$F28,$E28,$H28,$C28)</f>
        <v>2.3109288111403491E-4</v>
      </c>
      <c r="L28" s="39" cm="1">
        <f t="array" ref="L28">BS_Theta("P",$B28,$F28,$E28,$H28,$C28)</f>
        <v>-115.63434015613684</v>
      </c>
      <c r="M28" s="39" cm="1">
        <f t="array" ref="M28">BS_Vega("P",$B28,$F28,$E28,$H28,$C28)</f>
        <v>84.437546150166327</v>
      </c>
      <c r="N28" s="49">
        <f t="shared" si="4"/>
        <v>2661.04</v>
      </c>
      <c r="O28" s="52">
        <f t="shared" si="5"/>
        <v>52.130000000000109</v>
      </c>
      <c r="P28" s="53">
        <f t="shared" si="13"/>
        <v>218.34999999999991</v>
      </c>
      <c r="Q28" s="39">
        <f t="shared" si="6"/>
        <v>54.429999999999836</v>
      </c>
      <c r="R28" s="54">
        <f t="shared" si="7"/>
        <v>5.9966039180408548E-3</v>
      </c>
      <c r="S28" s="39">
        <f t="shared" si="8"/>
        <v>2.7397260273972603E-3</v>
      </c>
      <c r="T28" s="39">
        <f t="shared" si="11"/>
        <v>51.52795132870002</v>
      </c>
      <c r="U28" s="39">
        <f t="shared" si="9"/>
        <v>6.2490466510434661E-2</v>
      </c>
      <c r="V28" s="39">
        <f t="shared" si="2"/>
        <v>0.63263941822979697</v>
      </c>
      <c r="W28" s="53">
        <f t="shared" si="10"/>
        <v>52.223081213440253</v>
      </c>
      <c r="X28" s="39">
        <f t="shared" si="14"/>
        <v>221.73115734035272</v>
      </c>
      <c r="Y28" s="39">
        <f t="shared" si="14"/>
        <v>-6.9436640819315105</v>
      </c>
      <c r="Z28" s="39">
        <f t="shared" si="14"/>
        <v>2.976233148922006</v>
      </c>
      <c r="AA28" s="53">
        <f t="shared" si="14"/>
        <v>217.76372640734326</v>
      </c>
    </row>
    <row r="29" spans="1:27" ht="15.6">
      <c r="A29" s="40">
        <v>40025</v>
      </c>
      <c r="B29" s="39">
        <v>2638.13</v>
      </c>
      <c r="C29" s="47">
        <v>8.9300000000000004E-3</v>
      </c>
      <c r="D29" s="43">
        <v>7.4</v>
      </c>
      <c r="E29" s="48">
        <v>0.38670793652228325</v>
      </c>
      <c r="F29" s="39">
        <v>2100</v>
      </c>
      <c r="G29" s="39">
        <f t="shared" si="3"/>
        <v>236.44000000000005</v>
      </c>
      <c r="H29" s="39">
        <f t="shared" si="0"/>
        <v>0.13424657534246576</v>
      </c>
      <c r="I29" s="39" cm="1">
        <f t="array" ref="I29">BS_DELTA("P",$B29,$F29,$E29,$H29,$C29)</f>
        <v>-4.5570705813872459E-2</v>
      </c>
      <c r="J29" s="39">
        <f t="shared" si="1"/>
        <v>0.95442929418612754</v>
      </c>
      <c r="K29" s="39" cm="1">
        <f t="array" ref="K29">BS_Gamma("P",$B29,$F29,$E29,$H29,$C29)</f>
        <v>2.5616507500224886E-4</v>
      </c>
      <c r="L29" s="39" cm="1">
        <f t="array" ref="L29">BS_Theta("P",$B29,$F29,$E29,$H29,$C29)</f>
        <v>-132.16596654583091</v>
      </c>
      <c r="M29" s="39" cm="1">
        <f t="array" ref="M29">BS_Vega("P",$B29,$F29,$E29,$H29,$C29)</f>
        <v>92.554727132552742</v>
      </c>
      <c r="N29" s="49">
        <f t="shared" si="4"/>
        <v>2645.53</v>
      </c>
      <c r="O29" s="52">
        <f t="shared" si="5"/>
        <v>-15.509999999999764</v>
      </c>
      <c r="P29" s="53">
        <f t="shared" si="13"/>
        <v>202.84000000000015</v>
      </c>
      <c r="Q29" s="39">
        <f t="shared" si="6"/>
        <v>-16.609999999999673</v>
      </c>
      <c r="R29" s="54">
        <f t="shared" si="7"/>
        <v>8.2410306752029316E-3</v>
      </c>
      <c r="S29" s="39">
        <f t="shared" si="8"/>
        <v>2.7397260273972603E-3</v>
      </c>
      <c r="T29" s="39">
        <f t="shared" si="11"/>
        <v>-15.947855093074068</v>
      </c>
      <c r="U29" s="39">
        <f t="shared" si="9"/>
        <v>-0.28492806125387687</v>
      </c>
      <c r="V29" s="39">
        <f t="shared" si="2"/>
        <v>0.6958524079623839</v>
      </c>
      <c r="W29" s="53">
        <f t="shared" si="10"/>
        <v>-15.536930746365561</v>
      </c>
      <c r="X29" s="39">
        <f t="shared" si="14"/>
        <v>205.78330224727864</v>
      </c>
      <c r="Y29" s="39">
        <f t="shared" si="14"/>
        <v>-7.228592143185387</v>
      </c>
      <c r="Z29" s="39">
        <f t="shared" si="14"/>
        <v>3.6720855568843898</v>
      </c>
      <c r="AA29" s="53">
        <f t="shared" si="14"/>
        <v>202.2267956609777</v>
      </c>
    </row>
    <row r="30" spans="1:27" ht="15.6">
      <c r="A30" s="40">
        <v>40028</v>
      </c>
      <c r="B30" s="39">
        <v>2674.07</v>
      </c>
      <c r="C30" s="47">
        <v>8.8599999999999998E-3</v>
      </c>
      <c r="D30" s="43">
        <v>6.1</v>
      </c>
      <c r="E30" s="48">
        <v>0.40134615176668509</v>
      </c>
      <c r="F30" s="39">
        <v>2100</v>
      </c>
      <c r="G30" s="39">
        <f t="shared" si="3"/>
        <v>272.38000000000011</v>
      </c>
      <c r="H30" s="39">
        <f t="shared" si="0"/>
        <v>0.12602739726027398</v>
      </c>
      <c r="I30" s="39" cm="1">
        <f t="array" ref="I30">BS_DELTA("P",$B30,$F30,$E30,$H30,$C30)</f>
        <v>-3.793131343878331E-2</v>
      </c>
      <c r="J30" s="39">
        <f t="shared" si="1"/>
        <v>0.96206868656121669</v>
      </c>
      <c r="K30" s="39" cm="1">
        <f t="array" ref="K30">BS_Gamma("P",$B30,$F30,$E30,$H30,$C30)</f>
        <v>2.1660651838130641E-4</v>
      </c>
      <c r="L30" s="39" cm="1">
        <f t="array" ref="L30">BS_Theta("P",$B30,$F30,$E30,$H30,$C30)</f>
        <v>-123.79288687026894</v>
      </c>
      <c r="M30" s="39" cm="1">
        <f t="array" ref="M30">BS_Vega("P",$B30,$F30,$E30,$H30,$C30)</f>
        <v>78.343169144374414</v>
      </c>
      <c r="N30" s="49">
        <f t="shared" si="4"/>
        <v>2680.17</v>
      </c>
      <c r="O30" s="52">
        <f t="shared" si="5"/>
        <v>34.639999999999873</v>
      </c>
      <c r="P30" s="53">
        <f t="shared" si="13"/>
        <v>237.48000000000002</v>
      </c>
      <c r="Q30" s="39">
        <f t="shared" si="6"/>
        <v>35.940000000000055</v>
      </c>
      <c r="R30" s="54">
        <f t="shared" si="7"/>
        <v>1.4638215244401842E-2</v>
      </c>
      <c r="S30" s="39">
        <f t="shared" si="8"/>
        <v>8.21917808219178E-3</v>
      </c>
      <c r="T30" s="39">
        <f t="shared" si="11"/>
        <v>34.302188833049478</v>
      </c>
      <c r="U30" s="39">
        <f t="shared" si="9"/>
        <v>-0.92085350230859753</v>
      </c>
      <c r="V30" s="39">
        <f t="shared" si="2"/>
        <v>1.3548360176531864</v>
      </c>
      <c r="W30" s="53">
        <f t="shared" si="10"/>
        <v>34.736171348394066</v>
      </c>
      <c r="X30" s="39">
        <f t="shared" si="14"/>
        <v>240.08549108032813</v>
      </c>
      <c r="Y30" s="39">
        <f t="shared" si="14"/>
        <v>-8.1494456454939836</v>
      </c>
      <c r="Z30" s="39">
        <f t="shared" si="14"/>
        <v>5.0269215745375764</v>
      </c>
      <c r="AA30" s="53">
        <f t="shared" si="14"/>
        <v>236.96296700937177</v>
      </c>
    </row>
    <row r="31" spans="1:27" ht="15.6">
      <c r="A31" s="40">
        <v>40029</v>
      </c>
      <c r="B31" s="39">
        <v>2670.96</v>
      </c>
      <c r="C31" s="47">
        <v>8.8400000000000006E-3</v>
      </c>
      <c r="D31" s="43">
        <v>5.7</v>
      </c>
      <c r="E31" s="48">
        <v>0.39897231749810802</v>
      </c>
      <c r="F31" s="39">
        <v>2100</v>
      </c>
      <c r="G31" s="39">
        <f t="shared" si="3"/>
        <v>269.27</v>
      </c>
      <c r="H31" s="39">
        <f t="shared" si="0"/>
        <v>0.12328767123287671</v>
      </c>
      <c r="I31" s="39" cm="1">
        <f t="array" ref="I31">BS_DELTA("P",$B31,$F31,$E31,$H31,$C31)</f>
        <v>-3.6358730282001206E-2</v>
      </c>
      <c r="J31" s="39">
        <f t="shared" si="1"/>
        <v>0.96364126971799879</v>
      </c>
      <c r="K31" s="39" cm="1">
        <f t="array" ref="K31">BS_Gamma("P",$B31,$F31,$E31,$H31,$C31)</f>
        <v>2.1305811458327399E-4</v>
      </c>
      <c r="L31" s="39" cm="1">
        <f t="array" ref="L31">BS_Theta("P",$B31,$F31,$E31,$H31,$C31)</f>
        <v>-120.06411557904887</v>
      </c>
      <c r="M31" s="39" cm="1">
        <f t="array" ref="M31">BS_Vega("P",$B31,$F31,$E31,$H31,$C31)</f>
        <v>74.764470259409592</v>
      </c>
      <c r="N31" s="49">
        <f t="shared" si="4"/>
        <v>2676.66</v>
      </c>
      <c r="O31" s="52">
        <f t="shared" si="5"/>
        <v>-3.5100000000002183</v>
      </c>
      <c r="P31" s="53">
        <f t="shared" si="13"/>
        <v>233.9699999999998</v>
      </c>
      <c r="Q31" s="39">
        <f t="shared" si="6"/>
        <v>-3.1100000000001273</v>
      </c>
      <c r="R31" s="54">
        <f t="shared" si="7"/>
        <v>-2.3738342685770686E-3</v>
      </c>
      <c r="S31" s="39">
        <f t="shared" si="8"/>
        <v>2.7397260273972603E-3</v>
      </c>
      <c r="T31" s="39">
        <f t="shared" si="11"/>
        <v>-2.9920336152055063</v>
      </c>
      <c r="U31" s="39">
        <f t="shared" si="9"/>
        <v>-0.3381110742119024</v>
      </c>
      <c r="V31" s="39">
        <f t="shared" si="2"/>
        <v>-0.18597369962384561</v>
      </c>
      <c r="W31" s="53">
        <f t="shared" si="10"/>
        <v>-3.5161183890412544</v>
      </c>
      <c r="X31" s="39">
        <f t="shared" si="14"/>
        <v>237.09345746512261</v>
      </c>
      <c r="Y31" s="39">
        <f t="shared" si="14"/>
        <v>-8.4875567197058857</v>
      </c>
      <c r="Z31" s="39">
        <f t="shared" si="14"/>
        <v>4.8409478749137307</v>
      </c>
      <c r="AA31" s="53">
        <f t="shared" si="14"/>
        <v>233.44684862033051</v>
      </c>
    </row>
    <row r="32" spans="1:27" ht="15.6">
      <c r="A32" s="40">
        <v>40030</v>
      </c>
      <c r="B32" s="39">
        <v>2643.13</v>
      </c>
      <c r="C32" s="47">
        <v>8.8400000000000006E-3</v>
      </c>
      <c r="D32" s="43">
        <v>5.5</v>
      </c>
      <c r="E32" s="48">
        <v>0.3869663635121805</v>
      </c>
      <c r="F32" s="39">
        <v>2100</v>
      </c>
      <c r="G32" s="39">
        <f t="shared" si="3"/>
        <v>241.44000000000005</v>
      </c>
      <c r="H32" s="39">
        <f t="shared" si="0"/>
        <v>0.12054794520547946</v>
      </c>
      <c r="I32" s="39" cm="1">
        <f t="array" ref="I32">BS_DELTA("P",$B32,$F32,$E32,$H32,$C32)</f>
        <v>-3.6953269743206563E-2</v>
      </c>
      <c r="J32" s="39">
        <f t="shared" si="1"/>
        <v>0.96304673025679344</v>
      </c>
      <c r="K32" s="39" cm="1">
        <f t="array" ref="K32">BS_Gamma("P",$B32,$F32,$E32,$H32,$C32)</f>
        <v>2.2748800834886256E-4</v>
      </c>
      <c r="L32" s="39" cm="1">
        <f t="array" ref="L32">BS_Theta("P",$B32,$F32,$E32,$H32,$C32)</f>
        <v>-118.07837579399695</v>
      </c>
      <c r="M32" s="39" cm="1">
        <f t="array" ref="M32">BS_Vega("P",$B32,$F32,$E32,$H32,$C32)</f>
        <v>74.135903524343277</v>
      </c>
      <c r="N32" s="49">
        <f t="shared" si="4"/>
        <v>2648.63</v>
      </c>
      <c r="O32" s="52">
        <f t="shared" si="5"/>
        <v>-28.029999999999745</v>
      </c>
      <c r="P32" s="53">
        <f t="shared" si="13"/>
        <v>205.94000000000005</v>
      </c>
      <c r="Q32" s="39">
        <f t="shared" si="6"/>
        <v>-27.829999999999927</v>
      </c>
      <c r="R32" s="54">
        <f t="shared" si="7"/>
        <v>-1.200595398592752E-2</v>
      </c>
      <c r="S32" s="39">
        <f t="shared" si="8"/>
        <v>2.7397260273972603E-3</v>
      </c>
      <c r="T32" s="39">
        <f t="shared" si="11"/>
        <v>-26.818136536251835</v>
      </c>
      <c r="U32" s="39">
        <f t="shared" si="9"/>
        <v>-0.24643507942737075</v>
      </c>
      <c r="V32" s="39">
        <f t="shared" si="2"/>
        <v>-0.89761878971671816</v>
      </c>
      <c r="W32" s="53">
        <f t="shared" si="10"/>
        <v>-27.962190405395923</v>
      </c>
      <c r="X32" s="39">
        <f t="shared" si="14"/>
        <v>210.27532092887077</v>
      </c>
      <c r="Y32" s="39">
        <f t="shared" si="14"/>
        <v>-8.733991799133257</v>
      </c>
      <c r="Z32" s="39">
        <f t="shared" si="14"/>
        <v>3.9433290851970124</v>
      </c>
      <c r="AA32" s="53">
        <f t="shared" si="14"/>
        <v>205.4846582149346</v>
      </c>
    </row>
    <row r="33" spans="1:27" ht="15.6">
      <c r="A33" s="40">
        <v>40031</v>
      </c>
      <c r="B33" s="39">
        <v>2662.01</v>
      </c>
      <c r="C33" s="47">
        <v>8.8299999999999993E-3</v>
      </c>
      <c r="D33" s="43">
        <v>4.4000000000000004</v>
      </c>
      <c r="E33" s="48">
        <v>0.38463724604798066</v>
      </c>
      <c r="F33" s="39">
        <v>2100</v>
      </c>
      <c r="G33" s="39">
        <f t="shared" si="3"/>
        <v>260.32000000000016</v>
      </c>
      <c r="H33" s="39">
        <f t="shared" si="0"/>
        <v>0.11780821917808219</v>
      </c>
      <c r="I33" s="39" cm="1">
        <f t="array" ref="I33">BS_DELTA("P",$B33,$F33,$E33,$H33,$C33)</f>
        <v>-3.0730375135285759E-2</v>
      </c>
      <c r="J33" s="39">
        <f t="shared" si="1"/>
        <v>0.96926962486471424</v>
      </c>
      <c r="K33" s="39" cm="1">
        <f t="array" ref="K33">BS_Gamma("P",$B33,$F33,$E33,$H33,$C33)</f>
        <v>1.9750774548805928E-4</v>
      </c>
      <c r="L33" s="39" cm="1">
        <f t="array" ref="L33">BS_Theta("P",$B33,$F33,$E33,$H33,$C33)</f>
        <v>-102.7711880816193</v>
      </c>
      <c r="M33" s="39" cm="1">
        <f t="array" ref="M33">BS_Vega("P",$B33,$F33,$E33,$H33,$C33)</f>
        <v>63.42061139685174</v>
      </c>
      <c r="N33" s="49">
        <f t="shared" si="4"/>
        <v>2666.4100000000003</v>
      </c>
      <c r="O33" s="52">
        <f t="shared" si="5"/>
        <v>17.7800000000002</v>
      </c>
      <c r="P33" s="53">
        <f t="shared" si="13"/>
        <v>223.72000000000025</v>
      </c>
      <c r="Q33" s="39">
        <f t="shared" si="6"/>
        <v>18.880000000000109</v>
      </c>
      <c r="R33" s="54">
        <f t="shared" si="7"/>
        <v>-2.3291174641998369E-3</v>
      </c>
      <c r="S33" s="39">
        <f t="shared" si="8"/>
        <v>2.7397260273972603E-3</v>
      </c>
      <c r="T33" s="39">
        <f t="shared" si="11"/>
        <v>18.182322267248367</v>
      </c>
      <c r="U33" s="39">
        <f t="shared" si="9"/>
        <v>-0.28295784867401325</v>
      </c>
      <c r="V33" s="39">
        <f t="shared" si="2"/>
        <v>-0.17267122762278217</v>
      </c>
      <c r="W33" s="53">
        <f t="shared" si="10"/>
        <v>17.726693190951572</v>
      </c>
      <c r="X33" s="39">
        <f t="shared" si="14"/>
        <v>228.45764319611914</v>
      </c>
      <c r="Y33" s="39">
        <f t="shared" si="14"/>
        <v>-9.0169496478072695</v>
      </c>
      <c r="Z33" s="39">
        <f t="shared" si="14"/>
        <v>3.7706578575742302</v>
      </c>
      <c r="AA33" s="53">
        <f t="shared" si="14"/>
        <v>223.21135140588618</v>
      </c>
    </row>
    <row r="34" spans="1:27" ht="15.6">
      <c r="A34" s="40">
        <v>40032</v>
      </c>
      <c r="B34" s="39">
        <v>2706.22</v>
      </c>
      <c r="C34" s="47">
        <v>8.8100000000000001E-3</v>
      </c>
      <c r="D34" s="43">
        <v>3.4</v>
      </c>
      <c r="E34" s="48">
        <v>0.39270838113577278</v>
      </c>
      <c r="F34" s="39">
        <v>2100</v>
      </c>
      <c r="G34" s="39">
        <f t="shared" si="3"/>
        <v>304.52999999999975</v>
      </c>
      <c r="H34" s="39">
        <f t="shared" si="0"/>
        <v>0.11506849315068493</v>
      </c>
      <c r="I34" s="39" cm="1">
        <f t="array" ref="I34">BS_DELTA("P",$B34,$F34,$E34,$H34,$C34)</f>
        <v>-2.3961910388848429E-2</v>
      </c>
      <c r="J34" s="39">
        <f t="shared" si="1"/>
        <v>0.97603808961115157</v>
      </c>
      <c r="K34" s="39" cm="1">
        <f t="array" ref="K34">BS_Gamma("P",$B34,$F34,$E34,$H34,$C34)</f>
        <v>1.5645025338739961E-4</v>
      </c>
      <c r="L34" s="39" cm="1">
        <f t="array" ref="L34">BS_Theta("P",$B34,$F34,$E34,$H34,$C34)</f>
        <v>-87.750024483280129</v>
      </c>
      <c r="M34" s="39" cm="1">
        <f t="array" ref="M34">BS_Vega("P",$B34,$F34,$E34,$H34,$C34)</f>
        <v>51.776067941008947</v>
      </c>
      <c r="N34" s="49">
        <f t="shared" si="4"/>
        <v>2709.62</v>
      </c>
      <c r="O34" s="52">
        <f t="shared" si="5"/>
        <v>43.209999999999582</v>
      </c>
      <c r="P34" s="53">
        <f t="shared" si="13"/>
        <v>266.92999999999984</v>
      </c>
      <c r="Q34" s="39">
        <f t="shared" si="6"/>
        <v>44.209999999999582</v>
      </c>
      <c r="R34" s="54">
        <f t="shared" si="7"/>
        <v>8.071135087792114E-3</v>
      </c>
      <c r="S34" s="39">
        <f t="shared" si="8"/>
        <v>2.7397260273972603E-3</v>
      </c>
      <c r="T34" s="39">
        <f t="shared" si="11"/>
        <v>42.851410115268614</v>
      </c>
      <c r="U34" s="39">
        <f t="shared" si="9"/>
        <v>-8.8548074607216115E-2</v>
      </c>
      <c r="V34" s="39">
        <f t="shared" si="2"/>
        <v>0.5118763219343585</v>
      </c>
      <c r="W34" s="53">
        <f t="shared" si="10"/>
        <v>43.274738362595755</v>
      </c>
      <c r="X34" s="39">
        <f t="shared" si="14"/>
        <v>271.30905331138774</v>
      </c>
      <c r="Y34" s="39">
        <f t="shared" si="14"/>
        <v>-9.1054977224144853</v>
      </c>
      <c r="Z34" s="39">
        <f t="shared" si="14"/>
        <v>4.2825341795085885</v>
      </c>
      <c r="AA34" s="53">
        <f t="shared" si="14"/>
        <v>266.48608976848192</v>
      </c>
    </row>
    <row r="35" spans="1:27" ht="15.6">
      <c r="A35" s="40">
        <v>40035</v>
      </c>
      <c r="B35" s="39">
        <v>2693.61</v>
      </c>
      <c r="C35" s="47">
        <v>8.8400000000000006E-3</v>
      </c>
      <c r="D35" s="43">
        <v>3.4</v>
      </c>
      <c r="E35" s="48">
        <v>0.40135881797002043</v>
      </c>
      <c r="F35" s="39">
        <v>2100</v>
      </c>
      <c r="G35" s="39">
        <f t="shared" si="3"/>
        <v>291.92000000000007</v>
      </c>
      <c r="H35" s="39">
        <f t="shared" si="0"/>
        <v>0.10684931506849316</v>
      </c>
      <c r="I35" s="39" cm="1">
        <f t="array" ref="I35">BS_DELTA("P",$B35,$F35,$E35,$H35,$C35)</f>
        <v>-2.440143860793853E-2</v>
      </c>
      <c r="J35" s="39">
        <f t="shared" si="1"/>
        <v>0.97559856139206147</v>
      </c>
      <c r="K35" s="39" cm="1">
        <f t="array" ref="K35">BS_Gamma("P",$B35,$F35,$E35,$H35,$C35)</f>
        <v>1.6205591168266733E-4</v>
      </c>
      <c r="L35" s="39" cm="1">
        <f t="array" ref="L35">BS_Theta("P",$B35,$F35,$E35,$H35,$C35)</f>
        <v>-94.093259815814051</v>
      </c>
      <c r="M35" s="39" cm="1">
        <f t="array" ref="M35">BS_Vega("P",$B35,$F35,$E35,$H35,$C35)</f>
        <v>50.424181966337535</v>
      </c>
      <c r="N35" s="49">
        <f t="shared" si="4"/>
        <v>2697.01</v>
      </c>
      <c r="O35" s="52">
        <f t="shared" si="5"/>
        <v>-12.609999999999673</v>
      </c>
      <c r="P35" s="53">
        <f t="shared" si="13"/>
        <v>254.32000000000016</v>
      </c>
      <c r="Q35" s="39">
        <f t="shared" si="6"/>
        <v>-12.609999999999673</v>
      </c>
      <c r="R35" s="54">
        <f t="shared" si="7"/>
        <v>8.6504368342476545E-3</v>
      </c>
      <c r="S35" s="39">
        <f t="shared" si="8"/>
        <v>8.21917808219178E-3</v>
      </c>
      <c r="T35" s="39">
        <f t="shared" si="11"/>
        <v>-12.307840309996301</v>
      </c>
      <c r="U35" s="39">
        <f t="shared" si="9"/>
        <v>-0.70879433627643751</v>
      </c>
      <c r="V35" s="39">
        <f t="shared" si="2"/>
        <v>0.4478856052494129</v>
      </c>
      <c r="W35" s="53">
        <f t="shared" si="10"/>
        <v>-12.568749041023326</v>
      </c>
      <c r="X35" s="39">
        <f t="shared" si="14"/>
        <v>259.00121300139142</v>
      </c>
      <c r="Y35" s="39">
        <f t="shared" si="14"/>
        <v>-9.8142920586909224</v>
      </c>
      <c r="Z35" s="39">
        <f t="shared" si="14"/>
        <v>4.7304197847580012</v>
      </c>
      <c r="AA35" s="53">
        <f t="shared" si="14"/>
        <v>253.91734072745859</v>
      </c>
    </row>
    <row r="36" spans="1:27" ht="15.6">
      <c r="A36" s="40">
        <v>40036</v>
      </c>
      <c r="B36" s="39">
        <v>2650.94</v>
      </c>
      <c r="C36" s="47">
        <v>8.8299999999999993E-3</v>
      </c>
      <c r="D36" s="43">
        <v>4.5</v>
      </c>
      <c r="E36" s="48">
        <v>0.40490927403168486</v>
      </c>
      <c r="F36" s="39">
        <v>2100</v>
      </c>
      <c r="G36" s="39">
        <f t="shared" si="3"/>
        <v>249.25</v>
      </c>
      <c r="H36" s="39">
        <f t="shared" si="0"/>
        <v>0.10410958904109589</v>
      </c>
      <c r="I36" s="39" cm="1">
        <f t="array" ref="I36">BS_DELTA("P",$B36,$F36,$E36,$H36,$C36)</f>
        <v>-3.175524775841565E-2</v>
      </c>
      <c r="J36" s="39">
        <f t="shared" si="1"/>
        <v>0.96824475224158435</v>
      </c>
      <c r="K36" s="39" cm="1">
        <f t="array" ref="K36">BS_Gamma("P",$B36,$F36,$E36,$H36,$C36)</f>
        <v>2.0592733072672846E-4</v>
      </c>
      <c r="L36" s="39" cm="1">
        <f t="array" ref="L36">BS_Theta("P",$B36,$F36,$E36,$H36,$C36)</f>
        <v>-117.84823065211684</v>
      </c>
      <c r="M36" s="39" cm="1">
        <f t="array" ref="M36">BS_Vega("P",$B36,$F36,$E36,$H36,$C36)</f>
        <v>61.004552082493809</v>
      </c>
      <c r="N36" s="49">
        <f t="shared" si="4"/>
        <v>2655.44</v>
      </c>
      <c r="O36" s="52">
        <f t="shared" si="5"/>
        <v>-41.570000000000164</v>
      </c>
      <c r="P36" s="53">
        <f t="shared" si="13"/>
        <v>212.75</v>
      </c>
      <c r="Q36" s="39">
        <f t="shared" si="6"/>
        <v>-42.670000000000073</v>
      </c>
      <c r="R36" s="54">
        <f t="shared" si="7"/>
        <v>3.550456061664431E-3</v>
      </c>
      <c r="S36" s="39">
        <f t="shared" si="8"/>
        <v>2.7397260273972603E-3</v>
      </c>
      <c r="T36" s="39">
        <f t="shared" si="11"/>
        <v>-41.628790614599332</v>
      </c>
      <c r="U36" s="39">
        <f t="shared" si="9"/>
        <v>-0.11025981201179796</v>
      </c>
      <c r="V36" s="39">
        <f t="shared" si="2"/>
        <v>0.17902884251685339</v>
      </c>
      <c r="W36" s="53">
        <f t="shared" si="10"/>
        <v>-41.560021584094272</v>
      </c>
      <c r="X36" s="39">
        <f t="shared" si="14"/>
        <v>217.3724223867921</v>
      </c>
      <c r="Y36" s="39">
        <f t="shared" si="14"/>
        <v>-9.9245518707027198</v>
      </c>
      <c r="Z36" s="39">
        <f t="shared" si="14"/>
        <v>4.9094486272748545</v>
      </c>
      <c r="AA36" s="53">
        <f t="shared" si="14"/>
        <v>212.35731914336432</v>
      </c>
    </row>
    <row r="37" spans="1:27" ht="15.6">
      <c r="A37" s="40">
        <v>40037</v>
      </c>
      <c r="B37" s="39">
        <v>2688.21</v>
      </c>
      <c r="C37" s="47">
        <v>8.7899999999999992E-3</v>
      </c>
      <c r="D37" s="43">
        <v>3.6</v>
      </c>
      <c r="E37" s="48">
        <v>0.41328396836200404</v>
      </c>
      <c r="F37" s="39">
        <v>2100</v>
      </c>
      <c r="G37" s="39">
        <f t="shared" si="3"/>
        <v>286.52</v>
      </c>
      <c r="H37" s="39">
        <f t="shared" si="0"/>
        <v>0.10136986301369863</v>
      </c>
      <c r="I37" s="39" cm="1">
        <f t="array" ref="I37">BS_DELTA("P",$B37,$F37,$E37,$H37,$C37)</f>
        <v>-2.5634441026958221E-2</v>
      </c>
      <c r="J37" s="39">
        <f t="shared" si="1"/>
        <v>0.97436555897304178</v>
      </c>
      <c r="K37" s="39" cm="1">
        <f t="array" ref="K37">BS_Gamma("P",$B37,$F37,$E37,$H37,$C37)</f>
        <v>1.6873298026615403E-4</v>
      </c>
      <c r="L37" s="39" cm="1">
        <f t="array" ref="L37">BS_Theta("P",$B37,$F37,$E37,$H37,$C37)</f>
        <v>-103.49685421684232</v>
      </c>
      <c r="M37" s="39" cm="1">
        <f t="array" ref="M37">BS_Vega("P",$B37,$F37,$E37,$H37,$C37)</f>
        <v>51.08386876866895</v>
      </c>
      <c r="N37" s="49">
        <f t="shared" si="4"/>
        <v>2691.81</v>
      </c>
      <c r="O37" s="52">
        <f t="shared" si="5"/>
        <v>36.369999999999891</v>
      </c>
      <c r="P37" s="53">
        <f t="shared" si="13"/>
        <v>249.11999999999989</v>
      </c>
      <c r="Q37" s="39">
        <f t="shared" si="6"/>
        <v>37.269999999999982</v>
      </c>
      <c r="R37" s="54">
        <f t="shared" si="7"/>
        <v>8.3746943303191768E-3</v>
      </c>
      <c r="S37" s="39">
        <f t="shared" si="8"/>
        <v>2.7397260273972603E-3</v>
      </c>
      <c r="T37" s="39">
        <f t="shared" si="11"/>
        <v>36.08648191604383</v>
      </c>
      <c r="U37" s="39">
        <f t="shared" si="9"/>
        <v>-0.17984988683270961</v>
      </c>
      <c r="V37" s="39">
        <f t="shared" si="2"/>
        <v>0.51089447644892183</v>
      </c>
      <c r="W37" s="53">
        <f t="shared" si="10"/>
        <v>36.417526505660042</v>
      </c>
      <c r="X37" s="39">
        <f t="shared" si="14"/>
        <v>253.45890430283592</v>
      </c>
      <c r="Y37" s="39">
        <f t="shared" si="14"/>
        <v>-10.104401757535429</v>
      </c>
      <c r="Z37" s="39">
        <f t="shared" si="14"/>
        <v>5.4203431037237761</v>
      </c>
      <c r="AA37" s="53">
        <f t="shared" si="14"/>
        <v>248.77484564902437</v>
      </c>
    </row>
    <row r="38" spans="1:27" ht="15.6">
      <c r="A38" s="40">
        <v>40038</v>
      </c>
      <c r="B38" s="39">
        <v>2705.74</v>
      </c>
      <c r="C38" s="47">
        <v>8.7299999999999999E-3</v>
      </c>
      <c r="D38" s="43">
        <v>3</v>
      </c>
      <c r="E38" s="48">
        <v>0.41505687826624971</v>
      </c>
      <c r="F38" s="39">
        <v>2100</v>
      </c>
      <c r="G38" s="39">
        <f t="shared" si="3"/>
        <v>304.04999999999973</v>
      </c>
      <c r="H38" s="39">
        <f t="shared" si="0"/>
        <v>9.8630136986301367E-2</v>
      </c>
      <c r="I38" s="39" cm="1">
        <f t="array" ref="I38">BS_DELTA("P",$B38,$F38,$E38,$H38,$C38)</f>
        <v>-2.1896655440166168E-2</v>
      </c>
      <c r="J38" s="39">
        <f t="shared" si="1"/>
        <v>0.97810334455983383</v>
      </c>
      <c r="K38" s="39" cm="1">
        <f t="array" ref="K38">BS_Gamma("P",$B38,$F38,$E38,$H38,$C38)</f>
        <v>1.4822238059676777E-4</v>
      </c>
      <c r="L38" s="39" cm="1">
        <f t="array" ref="L38">BS_Theta("P",$B38,$F38,$E38,$H38,$C38)</f>
        <v>-92.92635006290827</v>
      </c>
      <c r="M38" s="39" cm="1">
        <f t="array" ref="M38">BS_Vega("P",$B38,$F38,$E38,$H38,$C38)</f>
        <v>44.422516760452957</v>
      </c>
      <c r="N38" s="49">
        <f t="shared" si="4"/>
        <v>2708.74</v>
      </c>
      <c r="O38" s="52">
        <f t="shared" si="5"/>
        <v>16.929999999999836</v>
      </c>
      <c r="P38" s="53">
        <f t="shared" si="13"/>
        <v>266.04999999999973</v>
      </c>
      <c r="Q38" s="39">
        <f t="shared" si="6"/>
        <v>17.529999999999745</v>
      </c>
      <c r="R38" s="54">
        <f t="shared" si="7"/>
        <v>1.7729099042456675E-3</v>
      </c>
      <c r="S38" s="39">
        <f t="shared" si="8"/>
        <v>2.7397260273972603E-3</v>
      </c>
      <c r="T38" s="39">
        <f t="shared" si="11"/>
        <v>17.080628248797176</v>
      </c>
      <c r="U38" s="39">
        <f t="shared" si="9"/>
        <v>-0.25762712690388784</v>
      </c>
      <c r="V38" s="39">
        <f t="shared" si="2"/>
        <v>9.056709688715911E-2</v>
      </c>
      <c r="W38" s="53">
        <f t="shared" si="10"/>
        <v>16.913568218780448</v>
      </c>
      <c r="X38" s="39">
        <f t="shared" si="14"/>
        <v>270.5395325516331</v>
      </c>
      <c r="Y38" s="39">
        <f t="shared" si="14"/>
        <v>-10.362028884439317</v>
      </c>
      <c r="Z38" s="39">
        <f t="shared" si="14"/>
        <v>5.510910200610935</v>
      </c>
      <c r="AA38" s="53">
        <f t="shared" si="14"/>
        <v>265.6884138678048</v>
      </c>
    </row>
    <row r="39" spans="1:27" ht="15.6">
      <c r="A39" s="40">
        <v>40039</v>
      </c>
      <c r="B39" s="39">
        <v>2669.41</v>
      </c>
      <c r="C39" s="47">
        <v>8.6899999999999998E-3</v>
      </c>
      <c r="D39" s="43">
        <v>3.8</v>
      </c>
      <c r="E39" s="48">
        <v>0.41898447890265761</v>
      </c>
      <c r="F39" s="39">
        <v>2100</v>
      </c>
      <c r="G39" s="39">
        <f t="shared" si="3"/>
        <v>267.7199999999998</v>
      </c>
      <c r="H39" s="39">
        <f t="shared" si="0"/>
        <v>9.5890410958904104E-2</v>
      </c>
      <c r="I39" s="39" cm="1">
        <f t="array" ref="I39">BS_DELTA("P",$B39,$F39,$E39,$H39,$C39)</f>
        <v>-2.7398476676589123E-2</v>
      </c>
      <c r="J39" s="39">
        <f t="shared" si="1"/>
        <v>0.97260152332341088</v>
      </c>
      <c r="K39" s="39" cm="1">
        <f t="array" ref="K39">BS_Gamma("P",$B39,$F39,$E39,$H39,$C39)</f>
        <v>1.8218604223264623E-4</v>
      </c>
      <c r="L39" s="39" cm="1">
        <f t="array" ref="L39">BS_Theta("P",$B39,$F39,$E39,$H39,$C39)</f>
        <v>-113.28067939539231</v>
      </c>
      <c r="M39" s="39" cm="1">
        <f t="array" ref="M39">BS_Vega("P",$B39,$F39,$E39,$H39,$C39)</f>
        <v>52.157742085147319</v>
      </c>
      <c r="N39" s="49">
        <f t="shared" si="4"/>
        <v>2673.21</v>
      </c>
      <c r="O39" s="52">
        <f t="shared" si="5"/>
        <v>-35.529999999999745</v>
      </c>
      <c r="P39" s="53">
        <f t="shared" si="13"/>
        <v>230.51999999999998</v>
      </c>
      <c r="Q39" s="39">
        <f t="shared" si="6"/>
        <v>-36.329999999999927</v>
      </c>
      <c r="R39" s="54">
        <f t="shared" si="7"/>
        <v>3.9276006364079019E-3</v>
      </c>
      <c r="S39" s="39">
        <f t="shared" si="8"/>
        <v>2.7397260273972603E-3</v>
      </c>
      <c r="T39" s="39">
        <f t="shared" si="11"/>
        <v>-35.534494507858689</v>
      </c>
      <c r="U39" s="39">
        <f t="shared" si="9"/>
        <v>-0.15677568468156061</v>
      </c>
      <c r="V39" s="39">
        <f t="shared" si="2"/>
        <v>0.17447390509919572</v>
      </c>
      <c r="W39" s="53">
        <f t="shared" si="10"/>
        <v>-35.516796287441053</v>
      </c>
      <c r="X39" s="39">
        <f t="shared" si="14"/>
        <v>235.00503804377442</v>
      </c>
      <c r="Y39" s="39">
        <f t="shared" si="14"/>
        <v>-10.518804569120878</v>
      </c>
      <c r="Z39" s="39">
        <f t="shared" si="14"/>
        <v>5.6853841057101304</v>
      </c>
      <c r="AA39" s="53">
        <f t="shared" si="14"/>
        <v>230.17161758036374</v>
      </c>
    </row>
    <row r="40" spans="1:27" ht="15.6">
      <c r="A40" s="40">
        <v>40042</v>
      </c>
      <c r="B40" s="39">
        <v>2603.79</v>
      </c>
      <c r="C40" s="47">
        <v>8.6099999999999996E-3</v>
      </c>
      <c r="D40" s="43">
        <v>6.8</v>
      </c>
      <c r="E40" s="48">
        <v>0.4486332368871947</v>
      </c>
      <c r="F40" s="39">
        <v>2100</v>
      </c>
      <c r="G40" s="39">
        <f t="shared" si="3"/>
        <v>202.09999999999991</v>
      </c>
      <c r="H40" s="39">
        <f t="shared" si="0"/>
        <v>8.7671232876712329E-2</v>
      </c>
      <c r="I40" s="39" cm="1">
        <f t="array" ref="I40">BS_DELTA("P",$B40,$F40,$E40,$H40,$C40)</f>
        <v>-4.5432350682071743E-2</v>
      </c>
      <c r="J40" s="39">
        <f t="shared" si="1"/>
        <v>0.95456764931792826</v>
      </c>
      <c r="K40" s="39" cm="1">
        <f t="array" ref="K40">BS_Gamma("P",$B40,$F40,$E40,$H40,$C40)</f>
        <v>2.7616138811115674E-4</v>
      </c>
      <c r="L40" s="39" cm="1">
        <f t="array" ref="L40">BS_Theta("P",$B40,$F40,$E40,$H40,$C40)</f>
        <v>-187.34325120435599</v>
      </c>
      <c r="M40" s="39" cm="1">
        <f t="array" ref="M40">BS_Vega("P",$B40,$F40,$E40,$H40,$C40)</f>
        <v>73.641635539510446</v>
      </c>
      <c r="N40" s="49">
        <f t="shared" si="4"/>
        <v>2610.59</v>
      </c>
      <c r="O40" s="52">
        <f t="shared" si="5"/>
        <v>-62.619999999999891</v>
      </c>
      <c r="P40" s="53">
        <f t="shared" si="13"/>
        <v>167.90000000000009</v>
      </c>
      <c r="Q40" s="39">
        <f t="shared" si="6"/>
        <v>-65.619999999999891</v>
      </c>
      <c r="R40" s="54">
        <f t="shared" si="7"/>
        <v>2.9648757984537089E-2</v>
      </c>
      <c r="S40" s="39">
        <f t="shared" si="8"/>
        <v>8.21917808219178E-3</v>
      </c>
      <c r="T40" s="39">
        <f t="shared" si="11"/>
        <v>-63.822111960482118</v>
      </c>
      <c r="U40" s="39">
        <f t="shared" si="9"/>
        <v>-0.53882894934664582</v>
      </c>
      <c r="V40" s="39">
        <f t="shared" si="2"/>
        <v>1.5464122721024378</v>
      </c>
      <c r="W40" s="53">
        <f t="shared" si="10"/>
        <v>-62.814528637726326</v>
      </c>
      <c r="X40" s="39">
        <f t="shared" si="14"/>
        <v>171.1829260832923</v>
      </c>
      <c r="Y40" s="39">
        <f t="shared" si="14"/>
        <v>-11.057633518467524</v>
      </c>
      <c r="Z40" s="39">
        <f t="shared" si="14"/>
        <v>7.231796377812568</v>
      </c>
      <c r="AA40" s="53">
        <f t="shared" si="14"/>
        <v>167.3570889426374</v>
      </c>
    </row>
    <row r="41" spans="1:27" ht="15.6">
      <c r="A41" s="40">
        <v>40043</v>
      </c>
      <c r="B41" s="39">
        <v>2630.6</v>
      </c>
      <c r="C41" s="47">
        <v>8.5900000000000004E-3</v>
      </c>
      <c r="D41" s="43">
        <v>5</v>
      </c>
      <c r="E41" s="48">
        <v>0.44483197816224662</v>
      </c>
      <c r="F41" s="39">
        <v>2100</v>
      </c>
      <c r="G41" s="39">
        <f t="shared" si="3"/>
        <v>228.90999999999985</v>
      </c>
      <c r="H41" s="39">
        <f t="shared" si="0"/>
        <v>8.4931506849315067E-2</v>
      </c>
      <c r="I41" s="39" cm="1">
        <f t="array" ref="I41">BS_DELTA("P",$B41,$F41,$E41,$H41,$C41)</f>
        <v>-3.5289667453211937E-2</v>
      </c>
      <c r="J41" s="39">
        <f t="shared" si="1"/>
        <v>0.96471033254678806</v>
      </c>
      <c r="K41" s="39" cm="1">
        <f t="array" ref="K41">BS_Gamma("P",$B41,$F41,$E41,$H41,$C41)</f>
        <v>2.2811978589709262E-4</v>
      </c>
      <c r="L41" s="39" cm="1">
        <f t="array" ref="L41">BS_Theta("P",$B41,$F41,$E41,$H41,$C41)</f>
        <v>-155.34291348147059</v>
      </c>
      <c r="M41" s="39" cm="1">
        <f t="array" ref="M41">BS_Vega("P",$B41,$F41,$E41,$H41,$C41)</f>
        <v>59.639970034822319</v>
      </c>
      <c r="N41" s="49">
        <f t="shared" si="4"/>
        <v>2635.6</v>
      </c>
      <c r="O41" s="52">
        <f t="shared" si="5"/>
        <v>25.009999999999764</v>
      </c>
      <c r="P41" s="53">
        <f t="shared" si="13"/>
        <v>192.90999999999985</v>
      </c>
      <c r="Q41" s="39">
        <f t="shared" si="6"/>
        <v>26.809999999999945</v>
      </c>
      <c r="R41" s="54">
        <f t="shared" si="7"/>
        <v>-3.8012587249480756E-3</v>
      </c>
      <c r="S41" s="39">
        <f t="shared" si="8"/>
        <v>2.7397260273972603E-3</v>
      </c>
      <c r="T41" s="39">
        <f t="shared" si="11"/>
        <v>25.591958678213604</v>
      </c>
      <c r="U41" s="39">
        <f t="shared" si="9"/>
        <v>-0.41402007862323581</v>
      </c>
      <c r="V41" s="39">
        <f t="shared" si="2"/>
        <v>-0.27993090961401035</v>
      </c>
      <c r="W41" s="53">
        <f t="shared" si="10"/>
        <v>24.89800768997636</v>
      </c>
      <c r="X41" s="39">
        <f t="shared" ref="X41:AA49" si="15">X40+T41</f>
        <v>196.77488476150592</v>
      </c>
      <c r="Y41" s="39">
        <f t="shared" si="15"/>
        <v>-11.471653597090761</v>
      </c>
      <c r="Z41" s="39">
        <f t="shared" si="15"/>
        <v>6.9518654681985579</v>
      </c>
      <c r="AA41" s="53">
        <f t="shared" si="15"/>
        <v>192.25509663261377</v>
      </c>
    </row>
    <row r="42" spans="1:27" ht="15.6">
      <c r="A42" s="40">
        <v>40044</v>
      </c>
      <c r="B42" s="39">
        <v>2622.88</v>
      </c>
      <c r="C42" s="47">
        <v>8.539999999999999E-3</v>
      </c>
      <c r="D42" s="43">
        <v>5.5</v>
      </c>
      <c r="E42" s="48">
        <v>0.45571799691409015</v>
      </c>
      <c r="F42" s="39">
        <v>2100</v>
      </c>
      <c r="G42" s="39">
        <f t="shared" si="3"/>
        <v>221.19000000000005</v>
      </c>
      <c r="H42" s="39">
        <f t="shared" si="0"/>
        <v>8.2191780821917804E-2</v>
      </c>
      <c r="I42" s="39" cm="1">
        <f t="array" ref="I42">BS_DELTA("P",$B42,$F42,$E42,$H42,$C42)</f>
        <v>-3.8159202723123564E-2</v>
      </c>
      <c r="J42" s="39">
        <f t="shared" si="1"/>
        <v>0.96184079727687644</v>
      </c>
      <c r="K42" s="39" cm="1">
        <f t="array" ref="K42">BS_Gamma("P",$B42,$F42,$E42,$H42,$C42)</f>
        <v>2.4200769508499325E-4</v>
      </c>
      <c r="L42" s="39" cm="1">
        <f t="array" ref="L42">BS_Theta("P",$B42,$F42,$E42,$H42,$C42)</f>
        <v>-171.97973135098408</v>
      </c>
      <c r="M42" s="39" cm="1">
        <f t="array" ref="M42">BS_Vega("P",$B42,$F42,$E42,$H42,$C42)</f>
        <v>62.360643571743374</v>
      </c>
      <c r="N42" s="49">
        <f t="shared" si="4"/>
        <v>2628.38</v>
      </c>
      <c r="O42" s="52">
        <f t="shared" si="5"/>
        <v>-7.2199999999997999</v>
      </c>
      <c r="P42" s="53">
        <f t="shared" si="13"/>
        <v>185.69000000000005</v>
      </c>
      <c r="Q42" s="39">
        <f t="shared" si="6"/>
        <v>-7.7199999999997999</v>
      </c>
      <c r="R42" s="54">
        <f t="shared" si="7"/>
        <v>1.0886018751843529E-2</v>
      </c>
      <c r="S42" s="39">
        <f t="shared" si="8"/>
        <v>2.7397260273972603E-3</v>
      </c>
      <c r="T42" s="39">
        <f t="shared" si="11"/>
        <v>-7.4475637672610109</v>
      </c>
      <c r="U42" s="39">
        <f t="shared" si="9"/>
        <v>-0.41879923611300146</v>
      </c>
      <c r="V42" s="39">
        <f t="shared" si="2"/>
        <v>0.64924183215846198</v>
      </c>
      <c r="W42" s="53">
        <f t="shared" si="10"/>
        <v>-7.2171211712155499</v>
      </c>
      <c r="X42" s="39">
        <f t="shared" si="15"/>
        <v>189.3273209942449</v>
      </c>
      <c r="Y42" s="39">
        <f t="shared" si="15"/>
        <v>-11.890452833203762</v>
      </c>
      <c r="Z42" s="39">
        <f t="shared" si="15"/>
        <v>7.60110730035702</v>
      </c>
      <c r="AA42" s="53">
        <f t="shared" si="15"/>
        <v>185.03797546139822</v>
      </c>
    </row>
    <row r="43" spans="1:27" ht="15.6">
      <c r="A43" s="40">
        <v>40045</v>
      </c>
      <c r="B43" s="39">
        <v>2663.67</v>
      </c>
      <c r="C43" s="47">
        <v>8.5100000000000002E-3</v>
      </c>
      <c r="D43" s="43">
        <v>3.4</v>
      </c>
      <c r="E43" s="48">
        <v>0.44805769971325271</v>
      </c>
      <c r="F43" s="39">
        <v>2100</v>
      </c>
      <c r="G43" s="39">
        <f t="shared" si="3"/>
        <v>261.98</v>
      </c>
      <c r="H43" s="39">
        <f t="shared" si="0"/>
        <v>7.9452054794520555E-2</v>
      </c>
      <c r="I43" s="39" cm="1">
        <f t="array" ref="I43">BS_DELTA("P",$B43,$F43,$E43,$H43,$C43)</f>
        <v>-2.5520450081589319E-2</v>
      </c>
      <c r="J43" s="39">
        <f t="shared" si="1"/>
        <v>0.97447954991841068</v>
      </c>
      <c r="K43" s="39" cm="1">
        <f t="array" ref="K43">BS_Gamma("P",$B43,$F43,$E43,$H43,$C43)</f>
        <v>1.7675782067500987E-4</v>
      </c>
      <c r="L43" s="39" cm="1">
        <f t="array" ref="L43">BS_Theta("P",$B43,$F43,$E43,$H43,$C43)</f>
        <v>-125.27855452739746</v>
      </c>
      <c r="M43" s="39" cm="1">
        <f t="array" ref="M43">BS_Vega("P",$B43,$F43,$E43,$H43,$C43)</f>
        <v>44.64558885973797</v>
      </c>
      <c r="N43" s="49">
        <f t="shared" si="4"/>
        <v>2667.07</v>
      </c>
      <c r="O43" s="52">
        <f t="shared" si="5"/>
        <v>38.690000000000055</v>
      </c>
      <c r="P43" s="53">
        <f t="shared" si="13"/>
        <v>224.38000000000011</v>
      </c>
      <c r="Q43" s="39">
        <f t="shared" si="6"/>
        <v>40.789999999999964</v>
      </c>
      <c r="R43" s="54">
        <f t="shared" si="7"/>
        <v>-7.6602972008374404E-3</v>
      </c>
      <c r="S43" s="39">
        <f t="shared" si="8"/>
        <v>2.7397260273972603E-3</v>
      </c>
      <c r="T43" s="39">
        <f t="shared" si="11"/>
        <v>39.233486120923757</v>
      </c>
      <c r="U43" s="39">
        <f t="shared" si="9"/>
        <v>-0.26984822843314837</v>
      </c>
      <c r="V43" s="39">
        <f t="shared" si="2"/>
        <v>-0.47770106339504709</v>
      </c>
      <c r="W43" s="53">
        <f t="shared" si="10"/>
        <v>38.485936829095564</v>
      </c>
      <c r="X43" s="39">
        <f t="shared" si="15"/>
        <v>228.56080711516864</v>
      </c>
      <c r="Y43" s="39">
        <f t="shared" si="15"/>
        <v>-12.160301061636909</v>
      </c>
      <c r="Z43" s="39">
        <f t="shared" si="15"/>
        <v>7.1234062369619728</v>
      </c>
      <c r="AA43" s="53">
        <f t="shared" si="15"/>
        <v>223.5239122904938</v>
      </c>
    </row>
    <row r="44" spans="1:27" ht="15.6">
      <c r="A44" s="40">
        <v>40046</v>
      </c>
      <c r="B44" s="39">
        <v>2745.62</v>
      </c>
      <c r="C44" s="47">
        <v>8.4899999999999993E-3</v>
      </c>
      <c r="D44" s="43">
        <v>1.9</v>
      </c>
      <c r="E44" s="48">
        <v>0.45910326723331346</v>
      </c>
      <c r="F44" s="39">
        <v>2100</v>
      </c>
      <c r="G44" s="39">
        <f t="shared" si="3"/>
        <v>343.92999999999984</v>
      </c>
      <c r="H44" s="39">
        <f t="shared" si="0"/>
        <v>7.6712328767123292E-2</v>
      </c>
      <c r="I44" s="39" cm="1">
        <f t="array" ref="I44">BS_DELTA("P",$B44,$F44,$E44,$H44,$C44)</f>
        <v>-1.4745300368297354E-2</v>
      </c>
      <c r="J44" s="39">
        <f t="shared" si="1"/>
        <v>0.98525469963170265</v>
      </c>
      <c r="K44" s="39" cm="1">
        <f t="array" ref="K44">BS_Gamma("P",$B44,$F44,$E44,$H44,$C44)</f>
        <v>1.0688618323833844E-4</v>
      </c>
      <c r="L44" s="39" cm="1">
        <f t="array" ref="L44">BS_Theta("P",$B44,$F44,$E44,$H44,$C44)</f>
        <v>-84.556869319535522</v>
      </c>
      <c r="M44" s="39" cm="1">
        <f t="array" ref="M44">BS_Vega("P",$B44,$F44,$E44,$H44,$C44)</f>
        <v>28.377751352054748</v>
      </c>
      <c r="N44" s="49">
        <f t="shared" si="4"/>
        <v>2747.52</v>
      </c>
      <c r="O44" s="52">
        <f t="shared" si="5"/>
        <v>80.449999999999818</v>
      </c>
      <c r="P44" s="53">
        <f t="shared" si="13"/>
        <v>304.82999999999993</v>
      </c>
      <c r="Q44" s="39">
        <f t="shared" si="6"/>
        <v>81.949999999999818</v>
      </c>
      <c r="R44" s="54">
        <f t="shared" si="7"/>
        <v>1.1045567520060751E-2</v>
      </c>
      <c r="S44" s="39">
        <f t="shared" si="8"/>
        <v>2.7397260273972603E-3</v>
      </c>
      <c r="T44" s="39">
        <f t="shared" si="11"/>
        <v>79.858599115813576</v>
      </c>
      <c r="U44" s="39">
        <f t="shared" si="9"/>
        <v>0.25030639047847114</v>
      </c>
      <c r="V44" s="39">
        <f t="shared" si="2"/>
        <v>0.49313586622310779</v>
      </c>
      <c r="W44" s="53">
        <f t="shared" si="10"/>
        <v>80.60204137251516</v>
      </c>
      <c r="X44" s="39">
        <f t="shared" si="15"/>
        <v>308.41940623098219</v>
      </c>
      <c r="Y44" s="39">
        <f t="shared" si="15"/>
        <v>-11.909994671158438</v>
      </c>
      <c r="Z44" s="39">
        <f t="shared" si="15"/>
        <v>7.6165421031850808</v>
      </c>
      <c r="AA44" s="53">
        <f t="shared" si="15"/>
        <v>304.12595366300894</v>
      </c>
    </row>
    <row r="45" spans="1:27" ht="15.6">
      <c r="A45" s="40">
        <v>40049</v>
      </c>
      <c r="B45" s="39">
        <v>2778.34</v>
      </c>
      <c r="C45" s="47">
        <v>8.43E-3</v>
      </c>
      <c r="D45" s="43">
        <v>1.8</v>
      </c>
      <c r="E45" s="48">
        <v>0.49968884348255727</v>
      </c>
      <c r="F45" s="39">
        <v>2100</v>
      </c>
      <c r="G45" s="39">
        <f t="shared" si="3"/>
        <v>376.65000000000009</v>
      </c>
      <c r="H45" s="39">
        <f t="shared" si="0"/>
        <v>6.8493150684931503E-2</v>
      </c>
      <c r="I45" s="39" cm="1">
        <f t="array" ref="I45">BS_DELTA("P",$B45,$F45,$E45,$H45,$C45)</f>
        <v>-1.354384794882324E-2</v>
      </c>
      <c r="J45" s="39">
        <f t="shared" si="1"/>
        <v>0.98645615205117676</v>
      </c>
      <c r="K45" s="39" cm="1">
        <f t="array" ref="K45">BS_Gamma("P",$B45,$F45,$E45,$H45,$C45)</f>
        <v>9.5453306666325305E-5</v>
      </c>
      <c r="L45" s="39" cm="1">
        <f t="array" ref="L45">BS_Theta("P",$B45,$F45,$E45,$H45,$C45)</f>
        <v>-91.655587742245231</v>
      </c>
      <c r="M45" s="39" cm="1">
        <f t="array" ref="M45">BS_Vega("P",$B45,$F45,$E45,$H45,$C45)</f>
        <v>25.217879087900243</v>
      </c>
      <c r="N45" s="49">
        <f t="shared" si="4"/>
        <v>2780.1400000000003</v>
      </c>
      <c r="O45" s="52">
        <f t="shared" si="5"/>
        <v>32.620000000000346</v>
      </c>
      <c r="P45" s="53">
        <f t="shared" si="13"/>
        <v>337.45000000000027</v>
      </c>
      <c r="Q45" s="39">
        <f t="shared" si="6"/>
        <v>32.720000000000255</v>
      </c>
      <c r="R45" s="54">
        <f t="shared" si="7"/>
        <v>4.0585576249243804E-2</v>
      </c>
      <c r="S45" s="39">
        <f t="shared" si="8"/>
        <v>8.21917808219178E-3</v>
      </c>
      <c r="T45" s="39">
        <f t="shared" si="11"/>
        <v>32.237533771949565</v>
      </c>
      <c r="U45" s="39">
        <f t="shared" si="9"/>
        <v>-0.6377718786313441</v>
      </c>
      <c r="V45" s="39">
        <f t="shared" si="2"/>
        <v>1.1517273912808994</v>
      </c>
      <c r="W45" s="53">
        <f t="shared" si="10"/>
        <v>32.751489284599124</v>
      </c>
      <c r="X45" s="39">
        <f t="shared" si="15"/>
        <v>340.65694000293178</v>
      </c>
      <c r="Y45" s="39">
        <f t="shared" si="15"/>
        <v>-12.547766549789783</v>
      </c>
      <c r="Z45" s="39">
        <f t="shared" si="15"/>
        <v>8.7682694944659794</v>
      </c>
      <c r="AA45" s="53">
        <f t="shared" si="15"/>
        <v>336.87744294760807</v>
      </c>
    </row>
    <row r="46" spans="1:27" ht="15.6">
      <c r="A46" s="40">
        <v>40050</v>
      </c>
      <c r="B46" s="39">
        <v>2801.14</v>
      </c>
      <c r="C46" s="47">
        <v>8.3800000000000003E-3</v>
      </c>
      <c r="D46" s="43">
        <v>1.6</v>
      </c>
      <c r="E46" s="48">
        <v>0.51381276545783772</v>
      </c>
      <c r="F46" s="39">
        <v>2100</v>
      </c>
      <c r="G46" s="39">
        <f t="shared" si="3"/>
        <v>399.44999999999982</v>
      </c>
      <c r="H46" s="39">
        <f t="shared" si="0"/>
        <v>6.575342465753424E-2</v>
      </c>
      <c r="I46" s="39" cm="1">
        <f t="array" ref="I46">BS_DELTA("P",$B46,$F46,$E46,$H46,$C46)</f>
        <v>-1.2015720350960324E-2</v>
      </c>
      <c r="J46" s="39">
        <f t="shared" si="1"/>
        <v>0.98798427964903968</v>
      </c>
      <c r="K46" s="39" cm="1">
        <f t="array" ref="K46">BS_Gamma("P",$B46,$F46,$E46,$H46,$C46)</f>
        <v>8.4726416498216736E-5</v>
      </c>
      <c r="L46" s="39" cm="1">
        <f t="array" ref="L46">BS_Theta("P",$B46,$F46,$E46,$H46,$C46)</f>
        <v>-87.458809378629383</v>
      </c>
      <c r="M46" s="39" cm="1">
        <f t="array" ref="M46">BS_Vega("P",$B46,$F46,$E46,$H46,$C46)</f>
        <v>22.460102609043801</v>
      </c>
      <c r="N46" s="49">
        <f t="shared" si="4"/>
        <v>2802.74</v>
      </c>
      <c r="O46" s="52">
        <f t="shared" si="5"/>
        <v>22.599999999999454</v>
      </c>
      <c r="P46" s="53">
        <f t="shared" si="13"/>
        <v>360.04999999999973</v>
      </c>
      <c r="Q46" s="39">
        <f t="shared" si="6"/>
        <v>22.799999999999727</v>
      </c>
      <c r="R46" s="54">
        <f t="shared" si="7"/>
        <v>1.4123921975280451E-2</v>
      </c>
      <c r="S46" s="39">
        <f t="shared" si="8"/>
        <v>2.7397260273972603E-3</v>
      </c>
      <c r="T46" s="39">
        <f t="shared" si="11"/>
        <v>22.491200266766562</v>
      </c>
      <c r="U46" s="39">
        <f t="shared" si="9"/>
        <v>-0.22630097582511186</v>
      </c>
      <c r="V46" s="39">
        <f t="shared" si="2"/>
        <v>0.35617535661955957</v>
      </c>
      <c r="W46" s="53">
        <f t="shared" si="10"/>
        <v>22.621074647561009</v>
      </c>
      <c r="X46" s="39">
        <f t="shared" si="15"/>
        <v>363.14814026969833</v>
      </c>
      <c r="Y46" s="39">
        <f t="shared" si="15"/>
        <v>-12.774067525614894</v>
      </c>
      <c r="Z46" s="39">
        <f t="shared" si="15"/>
        <v>9.1244448510855385</v>
      </c>
      <c r="AA46" s="53">
        <f t="shared" si="15"/>
        <v>359.49851759516906</v>
      </c>
    </row>
    <row r="47" spans="1:27" ht="15.6">
      <c r="A47" s="40">
        <v>40051</v>
      </c>
      <c r="B47" s="39">
        <v>2788.9</v>
      </c>
      <c r="C47" s="47">
        <v>8.3400000000000002E-3</v>
      </c>
      <c r="D47" s="43">
        <v>1.6</v>
      </c>
      <c r="E47" s="48">
        <v>0.51811207964437511</v>
      </c>
      <c r="F47" s="39">
        <v>2100</v>
      </c>
      <c r="G47" s="39">
        <f t="shared" si="3"/>
        <v>387.21000000000004</v>
      </c>
      <c r="H47" s="39">
        <f t="shared" si="0"/>
        <v>6.3013698630136991E-2</v>
      </c>
      <c r="I47" s="39" cm="1">
        <f t="array" ref="I47">BS_DELTA("P",$B47,$F47,$E47,$H47,$C47)</f>
        <v>-1.2209871848162135E-2</v>
      </c>
      <c r="J47" s="39">
        <f t="shared" si="1"/>
        <v>0.98779012815183787</v>
      </c>
      <c r="K47" s="39" cm="1">
        <f t="array" ref="K47">BS_Gamma("P",$B47,$F47,$E47,$H47,$C47)</f>
        <v>8.7413442023270049E-5</v>
      </c>
      <c r="L47" s="39" cm="1">
        <f t="array" ref="L47">BS_Theta("P",$B47,$F47,$E47,$H47,$C47)</f>
        <v>-90.958686105345663</v>
      </c>
      <c r="M47" s="39" cm="1">
        <f t="array" ref="M47">BS_Vega("P",$B47,$F47,$E47,$H47,$C47)</f>
        <v>22.197435132528042</v>
      </c>
      <c r="N47" s="49">
        <f t="shared" si="4"/>
        <v>2790.5</v>
      </c>
      <c r="O47" s="52">
        <f t="shared" si="5"/>
        <v>-12.239999999999782</v>
      </c>
      <c r="P47" s="53">
        <f t="shared" si="13"/>
        <v>347.80999999999995</v>
      </c>
      <c r="Q47" s="39">
        <f t="shared" si="6"/>
        <v>-12.239999999999782</v>
      </c>
      <c r="R47" s="54">
        <f t="shared" si="7"/>
        <v>4.2993141865373952E-3</v>
      </c>
      <c r="S47" s="39">
        <f t="shared" si="8"/>
        <v>2.7397260273972603E-3</v>
      </c>
      <c r="T47" s="39">
        <f t="shared" si="11"/>
        <v>-12.09292758290403</v>
      </c>
      <c r="U47" s="39">
        <f t="shared" si="9"/>
        <v>-0.23326642219162513</v>
      </c>
      <c r="V47" s="39">
        <f t="shared" si="2"/>
        <v>9.6563037778147578E-2</v>
      </c>
      <c r="W47" s="53">
        <f t="shared" si="10"/>
        <v>-12.229630967317506</v>
      </c>
      <c r="X47" s="39">
        <f t="shared" si="15"/>
        <v>351.05521268679428</v>
      </c>
      <c r="Y47" s="39">
        <f t="shared" si="15"/>
        <v>-13.007333947806519</v>
      </c>
      <c r="Z47" s="39">
        <f t="shared" si="15"/>
        <v>9.2210078888636868</v>
      </c>
      <c r="AA47" s="53">
        <f t="shared" si="15"/>
        <v>347.26888662785154</v>
      </c>
    </row>
    <row r="48" spans="1:27" ht="15.6">
      <c r="A48" s="40">
        <v>40052</v>
      </c>
      <c r="B48" s="39">
        <v>2777.62</v>
      </c>
      <c r="C48" s="47">
        <v>8.2899999999999988E-3</v>
      </c>
      <c r="D48" s="43">
        <v>1.4</v>
      </c>
      <c r="E48" s="48">
        <v>0.51381164095262888</v>
      </c>
      <c r="F48" s="39">
        <v>2100</v>
      </c>
      <c r="G48" s="39">
        <f t="shared" si="3"/>
        <v>375.92999999999984</v>
      </c>
      <c r="H48" s="39">
        <f t="shared" si="0"/>
        <v>6.0273972602739728E-2</v>
      </c>
      <c r="I48" s="39" cm="1">
        <f t="array" ref="I48">BS_DELTA("P",$B48,$F48,$E48,$H48,$C48)</f>
        <v>-1.1186086720360144E-2</v>
      </c>
      <c r="J48" s="39">
        <f t="shared" si="1"/>
        <v>0.98881391327963986</v>
      </c>
      <c r="K48" s="39" cm="1">
        <f t="array" ref="K48">BS_Gamma("P",$B48,$F48,$E48,$H48,$C48)</f>
        <v>8.386809416225543E-5</v>
      </c>
      <c r="L48" s="39" cm="1">
        <f t="array" ref="L48">BS_Theta("P",$B48,$F48,$E48,$H48,$C48)</f>
        <v>-85.14309859324149</v>
      </c>
      <c r="M48" s="39" cm="1">
        <f t="array" ref="M48">BS_Vega("P",$B48,$F48,$E48,$H48,$C48)</f>
        <v>20.039006730858034</v>
      </c>
      <c r="N48" s="49">
        <f t="shared" si="4"/>
        <v>2779.02</v>
      </c>
      <c r="O48" s="52">
        <f t="shared" si="5"/>
        <v>-11.480000000000018</v>
      </c>
      <c r="P48" s="53">
        <f t="shared" si="13"/>
        <v>336.32999999999993</v>
      </c>
      <c r="Q48" s="39">
        <f t="shared" si="6"/>
        <v>-11.2800000000002</v>
      </c>
      <c r="R48" s="54">
        <f t="shared" si="7"/>
        <v>-4.3004386917462334E-3</v>
      </c>
      <c r="S48" s="39">
        <f t="shared" si="8"/>
        <v>2.7397260273972603E-3</v>
      </c>
      <c r="T48" s="39">
        <f t="shared" si="11"/>
        <v>-11.142272645552929</v>
      </c>
      <c r="U48" s="39">
        <f t="shared" si="9"/>
        <v>-0.24364070648990602</v>
      </c>
      <c r="V48" s="39">
        <f t="shared" si="2"/>
        <v>-9.5458708901450778E-2</v>
      </c>
      <c r="W48" s="53">
        <f t="shared" si="10"/>
        <v>-11.481372060944285</v>
      </c>
      <c r="X48" s="39">
        <f t="shared" si="15"/>
        <v>339.91294004124137</v>
      </c>
      <c r="Y48" s="39">
        <f t="shared" si="15"/>
        <v>-13.250974654296424</v>
      </c>
      <c r="Z48" s="39">
        <f t="shared" si="15"/>
        <v>9.1255491799622366</v>
      </c>
      <c r="AA48" s="53">
        <f t="shared" si="15"/>
        <v>335.78751456690725</v>
      </c>
    </row>
    <row r="49" spans="1:27" ht="16.2" thickBot="1">
      <c r="A49" s="40">
        <v>40053</v>
      </c>
      <c r="B49" s="39">
        <v>2803.65</v>
      </c>
      <c r="C49" s="47">
        <v>8.2500000000000004E-3</v>
      </c>
      <c r="D49" s="43">
        <v>1</v>
      </c>
      <c r="E49" s="48">
        <v>0.51735875286747635</v>
      </c>
      <c r="F49" s="39">
        <v>2100</v>
      </c>
      <c r="G49" s="39">
        <f t="shared" si="3"/>
        <v>401.96000000000004</v>
      </c>
      <c r="H49" s="39">
        <f t="shared" si="0"/>
        <v>5.7534246575342465E-2</v>
      </c>
      <c r="I49" s="39" cm="1">
        <f t="array" ref="I49">BS_DELTA("P",$B49,$F49,$E49,$H49,$C49)</f>
        <v>-8.3190929332974672E-3</v>
      </c>
      <c r="J49" s="39">
        <f t="shared" si="1"/>
        <v>0.99168090706670253</v>
      </c>
      <c r="K49" s="39" cm="1">
        <f t="array" ref="K49">BS_Gamma("P",$B49,$F49,$E49,$H49,$C49)</f>
        <v>6.520455573709055E-5</v>
      </c>
      <c r="L49" s="39" cm="1">
        <f t="array" ref="L49">BS_Theta("P",$B49,$F49,$E49,$H49,$C49)</f>
        <v>-68.392224529922231</v>
      </c>
      <c r="M49" s="39" cm="1">
        <f t="array" ref="M49">BS_Vega("P",$B49,$F49,$E49,$H49,$C49)</f>
        <v>15.256108357379103</v>
      </c>
      <c r="N49" s="49">
        <f>B49+D49</f>
        <v>2804.65</v>
      </c>
      <c r="O49" s="55">
        <f t="shared" si="5"/>
        <v>25.630000000000109</v>
      </c>
      <c r="P49" s="56">
        <f t="shared" si="13"/>
        <v>361.96000000000004</v>
      </c>
      <c r="Q49" s="39">
        <f t="shared" si="6"/>
        <v>26.0300000000002</v>
      </c>
      <c r="R49" s="54">
        <f t="shared" si="7"/>
        <v>3.5471119148474672E-3</v>
      </c>
      <c r="S49" s="39">
        <f t="shared" si="8"/>
        <v>2.7397260273972603E-3</v>
      </c>
      <c r="T49" s="39">
        <f t="shared" si="11"/>
        <v>25.738826162669223</v>
      </c>
      <c r="U49" s="39">
        <f t="shared" si="9"/>
        <v>-0.20485589258822307</v>
      </c>
      <c r="V49" s="39">
        <f t="shared" si="2"/>
        <v>7.1080599536735123E-2</v>
      </c>
      <c r="W49" s="56">
        <f t="shared" si="10"/>
        <v>25.605050869617735</v>
      </c>
      <c r="X49" s="39">
        <f t="shared" si="15"/>
        <v>365.6517662039106</v>
      </c>
      <c r="Y49" s="39">
        <f t="shared" si="15"/>
        <v>-13.455830546884647</v>
      </c>
      <c r="Z49" s="39">
        <f t="shared" si="15"/>
        <v>9.1966297794989718</v>
      </c>
      <c r="AA49" s="56">
        <f t="shared" si="15"/>
        <v>361.39256543652499</v>
      </c>
    </row>
    <row r="50" spans="1:27" ht="15.6">
      <c r="A50" s="40"/>
      <c r="C50" s="47"/>
      <c r="D50" s="43"/>
      <c r="E50" s="48"/>
    </row>
    <row r="51" spans="1:27">
      <c r="A51" s="40"/>
    </row>
    <row r="52" spans="1:27">
      <c r="A52" s="40" t="s">
        <v>72</v>
      </c>
    </row>
    <row r="53" spans="1:27">
      <c r="A53" s="40" t="s">
        <v>73</v>
      </c>
    </row>
    <row r="54" spans="1:27">
      <c r="A54" s="40" t="s">
        <v>74</v>
      </c>
    </row>
    <row r="55" spans="1:27">
      <c r="A55" s="40" t="s">
        <v>75</v>
      </c>
    </row>
    <row r="56" spans="1:27">
      <c r="A56" s="40"/>
    </row>
    <row r="57" spans="1:27">
      <c r="A57" s="40"/>
    </row>
    <row r="58" spans="1:27">
      <c r="A58" s="40"/>
    </row>
    <row r="59" spans="1:27">
      <c r="A59" s="40"/>
    </row>
    <row r="60" spans="1:27">
      <c r="A60" s="40"/>
    </row>
    <row r="61" spans="1:27">
      <c r="A61" s="40"/>
    </row>
    <row r="62" spans="1:27">
      <c r="A62" s="40"/>
    </row>
    <row r="63" spans="1:27">
      <c r="A63" s="40"/>
    </row>
    <row r="64" spans="1:27">
      <c r="A64" s="40"/>
    </row>
    <row r="65" spans="1:1">
      <c r="A65" s="40"/>
    </row>
    <row r="66" spans="1:1">
      <c r="A66" s="40"/>
    </row>
    <row r="67" spans="1:1">
      <c r="A67" s="40"/>
    </row>
    <row r="68" spans="1:1">
      <c r="A68" s="40"/>
    </row>
    <row r="69" spans="1:1">
      <c r="A69" s="40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B2FA2-795C-E946-8B41-1B3CF9210FB1}">
  <sheetPr codeName="Feuil3"/>
  <dimension ref="A1:AM101"/>
  <sheetViews>
    <sheetView showGridLines="0" tabSelected="1" zoomScale="25" zoomScaleNormal="54" workbookViewId="0">
      <selection activeCell="S7" sqref="S7"/>
    </sheetView>
  </sheetViews>
  <sheetFormatPr baseColWidth="10" defaultColWidth="11" defaultRowHeight="15.6"/>
  <cols>
    <col min="1" max="1" width="18.5" style="3" customWidth="1"/>
    <col min="2" max="3" width="11" style="3"/>
    <col min="4" max="5" width="14.19921875" style="3" customWidth="1"/>
    <col min="6" max="6" width="12.69921875" style="3" customWidth="1"/>
    <col min="7" max="10" width="13.69921875" style="3" customWidth="1"/>
    <col min="11" max="20" width="11" style="3"/>
    <col min="21" max="21" width="15.8984375" style="3" customWidth="1"/>
    <col min="22" max="23" width="11" style="3"/>
    <col min="24" max="24" width="12.19921875" style="3" customWidth="1"/>
    <col min="25" max="27" width="11" style="3"/>
    <col min="28" max="28" width="12.3984375" style="3" customWidth="1"/>
    <col min="29" max="29" width="9.69921875" style="3" customWidth="1"/>
    <col min="30" max="30" width="11.19921875" style="3" customWidth="1"/>
    <col min="31" max="35" width="11" style="3"/>
    <col min="36" max="36" width="13.19921875" style="3" bestFit="1" customWidth="1"/>
    <col min="37" max="38" width="11" style="3"/>
    <col min="39" max="39" width="24.69921875" style="3" bestFit="1" customWidth="1"/>
    <col min="40" max="16384" width="11" style="3"/>
  </cols>
  <sheetData>
    <row r="1" spans="1:39">
      <c r="A1" s="1"/>
      <c r="B1" s="1"/>
      <c r="C1" s="1"/>
      <c r="D1" s="2" t="s">
        <v>0</v>
      </c>
      <c r="E1" s="2" t="s">
        <v>0</v>
      </c>
      <c r="F1" s="2" t="s">
        <v>0</v>
      </c>
      <c r="G1" s="2" t="s">
        <v>0</v>
      </c>
      <c r="H1" s="2" t="s">
        <v>0</v>
      </c>
      <c r="I1" s="2"/>
      <c r="J1" s="2" t="s">
        <v>0</v>
      </c>
      <c r="K1" s="1"/>
      <c r="U1" s="74" t="s">
        <v>105</v>
      </c>
    </row>
    <row r="2" spans="1:39">
      <c r="D2" s="4">
        <v>40074</v>
      </c>
      <c r="E2" s="4">
        <v>40074</v>
      </c>
      <c r="F2" s="4">
        <v>40074</v>
      </c>
      <c r="G2" s="4">
        <v>40074</v>
      </c>
      <c r="H2" s="4">
        <v>40074</v>
      </c>
      <c r="I2" s="4"/>
      <c r="J2" s="4">
        <v>40074</v>
      </c>
      <c r="AK2" s="3" t="s">
        <v>19</v>
      </c>
      <c r="AL2" s="3" t="s">
        <v>76</v>
      </c>
    </row>
    <row r="3" spans="1:39">
      <c r="A3" s="1"/>
      <c r="B3" s="1"/>
      <c r="C3" s="1"/>
      <c r="D3" s="5" t="s">
        <v>1</v>
      </c>
      <c r="E3" s="5" t="s">
        <v>1</v>
      </c>
      <c r="F3" s="5" t="s">
        <v>1</v>
      </c>
      <c r="G3" s="5" t="s">
        <v>1</v>
      </c>
      <c r="H3" s="5" t="s">
        <v>1</v>
      </c>
      <c r="I3" s="5"/>
      <c r="J3" s="5" t="s">
        <v>1</v>
      </c>
      <c r="K3" s="1"/>
      <c r="AI3" s="3" t="s">
        <v>2</v>
      </c>
      <c r="AJ3" s="3" t="s">
        <v>77</v>
      </c>
      <c r="AK3" s="7">
        <f>D6</f>
        <v>41</v>
      </c>
      <c r="AL3" s="7">
        <f>E6</f>
        <v>18.899999999999999</v>
      </c>
      <c r="AM3" s="16"/>
    </row>
    <row r="4" spans="1:39">
      <c r="A4" s="4"/>
      <c r="B4" s="16"/>
      <c r="C4" s="16"/>
      <c r="D4" s="6">
        <v>2100</v>
      </c>
      <c r="E4" s="6">
        <v>1900</v>
      </c>
      <c r="F4" s="6">
        <v>2100</v>
      </c>
      <c r="G4" s="6">
        <v>1900</v>
      </c>
      <c r="H4" s="6">
        <v>1900</v>
      </c>
      <c r="I4" s="6"/>
      <c r="J4" s="6">
        <v>1900</v>
      </c>
      <c r="L4" s="126"/>
      <c r="M4" s="126"/>
      <c r="N4" s="126"/>
      <c r="O4" s="126" t="s">
        <v>78</v>
      </c>
      <c r="P4" s="126" t="s">
        <v>79</v>
      </c>
      <c r="Q4" s="126"/>
      <c r="R4" s="126"/>
      <c r="X4" s="116"/>
      <c r="AI4" s="3">
        <f>B6</f>
        <v>2401.69</v>
      </c>
      <c r="AJ4" s="3" t="s">
        <v>1</v>
      </c>
      <c r="AK4" s="7">
        <f>D4</f>
        <v>2100</v>
      </c>
      <c r="AL4" s="7">
        <f>E4</f>
        <v>1900</v>
      </c>
    </row>
    <row r="5" spans="1:39" ht="37.950000000000003" customHeight="1">
      <c r="A5" s="8" t="s">
        <v>4</v>
      </c>
      <c r="B5" s="9" t="s">
        <v>5</v>
      </c>
      <c r="C5" s="9" t="s">
        <v>6</v>
      </c>
      <c r="D5" s="9" t="s">
        <v>7</v>
      </c>
      <c r="E5" s="9" t="s">
        <v>7</v>
      </c>
      <c r="F5" s="9" t="s">
        <v>8</v>
      </c>
      <c r="G5" s="9" t="s">
        <v>8</v>
      </c>
      <c r="H5" s="72" t="s">
        <v>9</v>
      </c>
      <c r="I5" s="72" t="s">
        <v>10</v>
      </c>
      <c r="J5" s="72" t="s">
        <v>11</v>
      </c>
      <c r="K5" s="9"/>
      <c r="L5" s="127" t="s">
        <v>80</v>
      </c>
      <c r="M5" s="127" t="s">
        <v>81</v>
      </c>
      <c r="N5" s="127" t="s">
        <v>82</v>
      </c>
      <c r="O5" s="127" t="s">
        <v>83</v>
      </c>
      <c r="P5" s="127" t="s">
        <v>84</v>
      </c>
      <c r="Q5" s="127" t="s">
        <v>80</v>
      </c>
      <c r="R5" s="128" t="s">
        <v>107</v>
      </c>
      <c r="U5" s="57" t="s">
        <v>52</v>
      </c>
      <c r="AI5" s="3" t="s">
        <v>14</v>
      </c>
      <c r="AJ5" s="3" t="s">
        <v>15</v>
      </c>
      <c r="AK5" s="3" t="s">
        <v>85</v>
      </c>
      <c r="AL5" s="3" t="s">
        <v>86</v>
      </c>
      <c r="AM5" s="3" t="s">
        <v>87</v>
      </c>
    </row>
    <row r="6" spans="1:39">
      <c r="A6" s="4">
        <v>39994</v>
      </c>
      <c r="B6" s="3">
        <v>2401.69</v>
      </c>
      <c r="C6" s="11">
        <v>1.099E-2</v>
      </c>
      <c r="D6" s="6">
        <v>41</v>
      </c>
      <c r="E6" s="6">
        <v>18.899999999999999</v>
      </c>
      <c r="F6" s="12">
        <v>0.3482412321814034</v>
      </c>
      <c r="G6" s="12">
        <v>0.39625048812149882</v>
      </c>
      <c r="H6" s="13">
        <f>B6+E6</f>
        <v>2420.59</v>
      </c>
      <c r="I6" s="13">
        <f>(B6/$B$6)*100</f>
        <v>100</v>
      </c>
      <c r="J6" s="13">
        <f>(H6/$H$6)*100</f>
        <v>100</v>
      </c>
      <c r="L6" s="126"/>
      <c r="M6" s="126"/>
      <c r="N6" s="126"/>
      <c r="O6" s="126"/>
      <c r="P6" s="126"/>
      <c r="Q6" s="126"/>
      <c r="R6" s="126"/>
      <c r="Y6" s="3" t="s">
        <v>12</v>
      </c>
      <c r="AC6" s="3" t="s">
        <v>88</v>
      </c>
      <c r="AI6" s="3">
        <v>1500</v>
      </c>
      <c r="AJ6" s="3">
        <f>AI6-$AI$4</f>
        <v>-901.69</v>
      </c>
      <c r="AK6" s="16">
        <f>MAX($AK$4-AI6,0)-$AK$3</f>
        <v>559</v>
      </c>
      <c r="AL6" s="16">
        <f>MAX($AL$4-AI6,0)-$AL$3</f>
        <v>381.1</v>
      </c>
      <c r="AM6" s="16">
        <f>AJ6+AK6-AL6</f>
        <v>-723.79000000000008</v>
      </c>
    </row>
    <row r="7" spans="1:39">
      <c r="A7" s="4">
        <v>39995</v>
      </c>
      <c r="B7" s="3">
        <v>2449.73</v>
      </c>
      <c r="C7" s="11">
        <v>1.085E-2</v>
      </c>
      <c r="D7" s="6">
        <v>32.299999999999997</v>
      </c>
      <c r="E7" s="6">
        <v>14.7</v>
      </c>
      <c r="F7" s="12">
        <v>0.34714570447899196</v>
      </c>
      <c r="G7" s="12">
        <v>0.39555493626656396</v>
      </c>
      <c r="H7" s="13">
        <f t="shared" ref="H7:H49" si="0">B7+E7</f>
        <v>2464.4299999999998</v>
      </c>
      <c r="I7" s="13">
        <f t="shared" ref="I7:I49" si="1">(B7/$B$6)*100</f>
        <v>102.00025815155161</v>
      </c>
      <c r="J7" s="13">
        <f t="shared" ref="J7:J48" si="2">(H7/$H$6)*100</f>
        <v>101.81112869176521</v>
      </c>
      <c r="L7" s="126">
        <f>B7-B6</f>
        <v>48.039999999999964</v>
      </c>
      <c r="M7" s="129">
        <f>D7-D6</f>
        <v>-8.7000000000000028</v>
      </c>
      <c r="N7" s="129">
        <f>E7-E6</f>
        <v>-4.1999999999999993</v>
      </c>
      <c r="O7" s="129">
        <f>L7+M7-N7</f>
        <v>43.539999999999964</v>
      </c>
      <c r="P7" s="126">
        <f>L7^2</f>
        <v>2307.8415999999966</v>
      </c>
      <c r="Q7" s="126">
        <f>L7</f>
        <v>48.039999999999964</v>
      </c>
      <c r="R7" s="130">
        <f>F7-F6</f>
        <v>-1.0955277024114474E-3</v>
      </c>
      <c r="U7" s="117" t="s">
        <v>18</v>
      </c>
      <c r="V7" s="118" t="s">
        <v>19</v>
      </c>
      <c r="W7" s="18" t="s">
        <v>76</v>
      </c>
      <c r="Z7" s="99" t="s">
        <v>19</v>
      </c>
      <c r="AA7" s="93" t="s">
        <v>76</v>
      </c>
      <c r="AI7" s="3">
        <f>AI6+25</f>
        <v>1525</v>
      </c>
      <c r="AJ7" s="3">
        <f t="shared" ref="AJ7:AJ66" si="3">AI7-$AI$4</f>
        <v>-876.69</v>
      </c>
      <c r="AK7" s="16">
        <f t="shared" ref="AK7:AK66" si="4">MAX($AK$4-AI7,0)-$AK$3</f>
        <v>534</v>
      </c>
      <c r="AL7" s="16">
        <f t="shared" ref="AL7:AL66" si="5">MAX($AL$4-AI7,0)-$AL$3</f>
        <v>356.1</v>
      </c>
      <c r="AM7" s="16">
        <f t="shared" ref="AM7:AM66" si="6">AJ7+AK7-AL7</f>
        <v>-698.79000000000008</v>
      </c>
    </row>
    <row r="8" spans="1:39">
      <c r="A8" s="4">
        <v>39996</v>
      </c>
      <c r="B8" s="3">
        <v>2369.65</v>
      </c>
      <c r="C8" s="11">
        <v>1.072E-2</v>
      </c>
      <c r="D8" s="6">
        <v>47</v>
      </c>
      <c r="E8" s="6">
        <v>22</v>
      </c>
      <c r="F8" s="12">
        <v>0.35220379957348413</v>
      </c>
      <c r="G8" s="12">
        <v>0.40205536443968515</v>
      </c>
      <c r="H8" s="13">
        <f t="shared" si="0"/>
        <v>2391.65</v>
      </c>
      <c r="I8" s="13">
        <f t="shared" si="1"/>
        <v>98.665939401005133</v>
      </c>
      <c r="J8" s="13">
        <f t="shared" si="2"/>
        <v>98.804423714879434</v>
      </c>
      <c r="L8" s="126">
        <f t="shared" ref="L8:L48" si="7">B8-B7</f>
        <v>-80.079999999999927</v>
      </c>
      <c r="M8" s="129">
        <f t="shared" ref="M8:M49" si="8">D8-D7</f>
        <v>14.700000000000003</v>
      </c>
      <c r="N8" s="129">
        <f t="shared" ref="N8:N49" si="9">E8-E7</f>
        <v>7.3000000000000007</v>
      </c>
      <c r="O8" s="129">
        <f t="shared" ref="O8:O49" si="10">L8+M8-N8</f>
        <v>-72.679999999999922</v>
      </c>
      <c r="P8" s="126">
        <f t="shared" ref="P8:P49" si="11">L8^2</f>
        <v>6412.8063999999886</v>
      </c>
      <c r="Q8" s="126">
        <f t="shared" ref="Q8:Q49" si="12">L8</f>
        <v>-80.079999999999927</v>
      </c>
      <c r="R8" s="130">
        <f t="shared" ref="R8:R49" si="13">F8-F7</f>
        <v>5.0580950944921765E-3</v>
      </c>
      <c r="U8" s="119" t="s">
        <v>14</v>
      </c>
      <c r="V8" s="3">
        <f>B6</f>
        <v>2401.69</v>
      </c>
      <c r="W8" s="120">
        <f>B6</f>
        <v>2401.69</v>
      </c>
      <c r="Y8" s="98" t="s">
        <v>20</v>
      </c>
      <c r="Z8" s="94" cm="1">
        <f t="array" ref="Z8">BS_Price("P",V8,V9,V10,V11,V12)</f>
        <v>41.000000000000028</v>
      </c>
      <c r="AA8" s="94" cm="1">
        <f t="array" ref="AA8">BS_Price("P",W8,W9,W10,W11,W12)</f>
        <v>18.900000000000006</v>
      </c>
      <c r="AC8" s="95" t="s">
        <v>21</v>
      </c>
      <c r="AD8" s="108">
        <f>1+Z9-AA9</f>
        <v>0.90664598402163477</v>
      </c>
      <c r="AI8" s="3">
        <f t="shared" ref="AI8:AI66" si="14">AI7+25</f>
        <v>1550</v>
      </c>
      <c r="AJ8" s="3">
        <f t="shared" si="3"/>
        <v>-851.69</v>
      </c>
      <c r="AK8" s="16">
        <f t="shared" si="4"/>
        <v>509</v>
      </c>
      <c r="AL8" s="16">
        <f t="shared" si="5"/>
        <v>331.1</v>
      </c>
      <c r="AM8" s="16">
        <f t="shared" si="6"/>
        <v>-673.79000000000008</v>
      </c>
    </row>
    <row r="9" spans="1:39">
      <c r="A9" s="4">
        <v>39997</v>
      </c>
      <c r="B9" s="3">
        <v>2376.48</v>
      </c>
      <c r="C9" s="11">
        <v>1.0589999999999999E-2</v>
      </c>
      <c r="D9" s="6">
        <v>47.3</v>
      </c>
      <c r="E9" s="6">
        <v>21.7</v>
      </c>
      <c r="F9" s="12">
        <v>0.35984708446658598</v>
      </c>
      <c r="G9" s="12">
        <v>0.40651939247895064</v>
      </c>
      <c r="H9" s="13">
        <f t="shared" si="0"/>
        <v>2398.1799999999998</v>
      </c>
      <c r="I9" s="13">
        <f t="shared" si="1"/>
        <v>98.950322481252783</v>
      </c>
      <c r="J9" s="13">
        <f t="shared" si="2"/>
        <v>99.074192655509592</v>
      </c>
      <c r="L9" s="126">
        <f t="shared" si="7"/>
        <v>6.8299999999999272</v>
      </c>
      <c r="M9" s="129">
        <f t="shared" si="8"/>
        <v>0.29999999999999716</v>
      </c>
      <c r="N9" s="129">
        <f t="shared" si="9"/>
        <v>-0.30000000000000071</v>
      </c>
      <c r="O9" s="129">
        <f t="shared" si="10"/>
        <v>7.4299999999999251</v>
      </c>
      <c r="P9" s="126">
        <f t="shared" si="11"/>
        <v>46.648899999999003</v>
      </c>
      <c r="Q9" s="126">
        <f t="shared" si="12"/>
        <v>6.8299999999999272</v>
      </c>
      <c r="R9" s="130">
        <f t="shared" si="13"/>
        <v>7.6432848931018427E-3</v>
      </c>
      <c r="U9" s="119" t="s">
        <v>1</v>
      </c>
      <c r="V9" s="7">
        <f>D4</f>
        <v>2100</v>
      </c>
      <c r="W9" s="20">
        <f>E4</f>
        <v>1900</v>
      </c>
      <c r="Y9" s="96" t="s">
        <v>21</v>
      </c>
      <c r="Z9" s="105" cm="1">
        <f t="array" ref="Z9">BS_DELTA("P",V8,V9,V10,V11,V12)</f>
        <v>-0.17887825859861795</v>
      </c>
      <c r="AA9" s="105" cm="1">
        <f t="array" ref="AA9">BS_DELTA("P",W8,W9,W10,W11,W12)</f>
        <v>-8.5524242620252711E-2</v>
      </c>
      <c r="AC9" s="96" t="s">
        <v>22</v>
      </c>
      <c r="AD9" s="109">
        <f>Z10-AA10</f>
        <v>3.1664296507604047E-4</v>
      </c>
      <c r="AI9" s="3">
        <f t="shared" si="14"/>
        <v>1575</v>
      </c>
      <c r="AJ9" s="3">
        <f t="shared" si="3"/>
        <v>-826.69</v>
      </c>
      <c r="AK9" s="16">
        <f t="shared" si="4"/>
        <v>484</v>
      </c>
      <c r="AL9" s="16">
        <f t="shared" si="5"/>
        <v>306.10000000000002</v>
      </c>
      <c r="AM9" s="16">
        <f t="shared" si="6"/>
        <v>-648.79000000000008</v>
      </c>
    </row>
    <row r="10" spans="1:39">
      <c r="A10" s="4">
        <v>40000</v>
      </c>
      <c r="B10" s="3">
        <v>2343.88</v>
      </c>
      <c r="C10" s="11">
        <v>1.048E-2</v>
      </c>
      <c r="D10" s="6">
        <v>52.5</v>
      </c>
      <c r="E10" s="6">
        <v>24.4</v>
      </c>
      <c r="F10" s="12">
        <v>0.36151461326878492</v>
      </c>
      <c r="G10" s="12">
        <v>0.41123494397182786</v>
      </c>
      <c r="H10" s="13">
        <f t="shared" si="0"/>
        <v>2368.2800000000002</v>
      </c>
      <c r="I10" s="13">
        <f t="shared" si="1"/>
        <v>97.592944967918427</v>
      </c>
      <c r="J10" s="13">
        <f t="shared" si="2"/>
        <v>97.83895661801462</v>
      </c>
      <c r="L10" s="126">
        <f t="shared" si="7"/>
        <v>-32.599999999999909</v>
      </c>
      <c r="M10" s="129">
        <f t="shared" si="8"/>
        <v>5.2000000000000028</v>
      </c>
      <c r="N10" s="129">
        <f t="shared" si="9"/>
        <v>2.6999999999999993</v>
      </c>
      <c r="O10" s="129">
        <f t="shared" si="10"/>
        <v>-30.099999999999905</v>
      </c>
      <c r="P10" s="126">
        <f t="shared" si="11"/>
        <v>1062.7599999999941</v>
      </c>
      <c r="Q10" s="126">
        <f t="shared" si="12"/>
        <v>-32.599999999999909</v>
      </c>
      <c r="R10" s="130">
        <f t="shared" si="13"/>
        <v>1.6675288021989476E-3</v>
      </c>
      <c r="U10" s="119" t="s">
        <v>23</v>
      </c>
      <c r="V10" s="121">
        <f>F6</f>
        <v>0.3482412321814034</v>
      </c>
      <c r="W10" s="21">
        <f>G6</f>
        <v>0.39625048812149882</v>
      </c>
      <c r="Y10" s="96" t="s">
        <v>22</v>
      </c>
      <c r="Z10" s="106" cm="1">
        <f t="array" ref="Z10">BS_Gamma("P",V8,V9,V10,V11,V12)</f>
        <v>6.6751555146953977E-4</v>
      </c>
      <c r="AA10" s="106" cm="1">
        <f t="array" ref="AA10">BS_Gamma("P",W8,W9,W10,W11,W12)</f>
        <v>3.5087258639349931E-4</v>
      </c>
      <c r="AC10" s="96" t="s">
        <v>24</v>
      </c>
      <c r="AD10" s="77">
        <f>Z11-AA11</f>
        <v>-0.1969081958609612</v>
      </c>
      <c r="AI10" s="3">
        <f t="shared" si="14"/>
        <v>1600</v>
      </c>
      <c r="AJ10" s="3">
        <f t="shared" si="3"/>
        <v>-801.69</v>
      </c>
      <c r="AK10" s="16">
        <f t="shared" si="4"/>
        <v>459</v>
      </c>
      <c r="AL10" s="16">
        <f t="shared" si="5"/>
        <v>281.10000000000002</v>
      </c>
      <c r="AM10" s="16">
        <f t="shared" si="6"/>
        <v>-623.79000000000008</v>
      </c>
    </row>
    <row r="11" spans="1:39">
      <c r="A11" s="4">
        <v>40001</v>
      </c>
      <c r="B11" s="3">
        <v>2320.9</v>
      </c>
      <c r="C11" s="11">
        <v>1.044E-2</v>
      </c>
      <c r="D11" s="6">
        <v>58.3</v>
      </c>
      <c r="E11" s="6">
        <v>26.7</v>
      </c>
      <c r="F11" s="12">
        <v>0.36551387667849183</v>
      </c>
      <c r="G11" s="12">
        <v>0.4125503671490432</v>
      </c>
      <c r="H11" s="13">
        <f t="shared" si="0"/>
        <v>2347.6</v>
      </c>
      <c r="I11" s="13">
        <f t="shared" si="1"/>
        <v>96.636118733058808</v>
      </c>
      <c r="J11" s="13">
        <f t="shared" si="2"/>
        <v>96.984619452282288</v>
      </c>
      <c r="L11" s="126">
        <f t="shared" si="7"/>
        <v>-22.980000000000018</v>
      </c>
      <c r="M11" s="129">
        <f t="shared" si="8"/>
        <v>5.7999999999999972</v>
      </c>
      <c r="N11" s="129">
        <f t="shared" si="9"/>
        <v>2.3000000000000007</v>
      </c>
      <c r="O11" s="129">
        <f t="shared" si="10"/>
        <v>-19.480000000000022</v>
      </c>
      <c r="P11" s="126">
        <f t="shared" si="11"/>
        <v>528.08040000000085</v>
      </c>
      <c r="Q11" s="126">
        <f t="shared" si="12"/>
        <v>-22.980000000000018</v>
      </c>
      <c r="R11" s="130">
        <f t="shared" si="13"/>
        <v>3.9992634097069102E-3</v>
      </c>
      <c r="U11" s="119" t="s">
        <v>25</v>
      </c>
      <c r="V11" s="122">
        <f>(D2-A6)/365</f>
        <v>0.21917808219178081</v>
      </c>
      <c r="W11" s="123">
        <f>V11</f>
        <v>0.21917808219178081</v>
      </c>
      <c r="Y11" s="96" t="s">
        <v>24</v>
      </c>
      <c r="Z11" s="105" cm="1">
        <f t="array" ref="Z11">BS_Theta("P",V8,V9,V10,V11,V12)/365</f>
        <v>-0.62546599072892117</v>
      </c>
      <c r="AA11" s="105" cm="1">
        <f t="array" ref="AA11">BS_Theta("P",W8,W9,W10,W11,W12)/365</f>
        <v>-0.42855779486795997</v>
      </c>
      <c r="AC11" s="97" t="s">
        <v>26</v>
      </c>
      <c r="AD11" s="79">
        <f t="shared" ref="AD11" si="15">Z12-AA12</f>
        <v>118.10950580969299</v>
      </c>
      <c r="AI11" s="3">
        <f t="shared" si="14"/>
        <v>1625</v>
      </c>
      <c r="AJ11" s="3">
        <f t="shared" si="3"/>
        <v>-776.69</v>
      </c>
      <c r="AK11" s="16">
        <f t="shared" si="4"/>
        <v>434</v>
      </c>
      <c r="AL11" s="16">
        <f t="shared" si="5"/>
        <v>256.10000000000002</v>
      </c>
      <c r="AM11" s="16">
        <f t="shared" si="6"/>
        <v>-598.79000000000008</v>
      </c>
    </row>
    <row r="12" spans="1:39">
      <c r="A12" s="4">
        <v>40002</v>
      </c>
      <c r="B12" s="3">
        <v>2291.33</v>
      </c>
      <c r="C12" s="11">
        <v>1.0289999999999999E-2</v>
      </c>
      <c r="D12" s="6">
        <v>65.900000000000006</v>
      </c>
      <c r="E12" s="6">
        <v>30.1</v>
      </c>
      <c r="F12" s="12">
        <v>0.36833843505045988</v>
      </c>
      <c r="G12" s="12">
        <v>0.41403093372453581</v>
      </c>
      <c r="H12" s="13">
        <f t="shared" si="0"/>
        <v>2321.4299999999998</v>
      </c>
      <c r="I12" s="13">
        <f t="shared" si="1"/>
        <v>95.404902381239879</v>
      </c>
      <c r="J12" s="13">
        <f t="shared" si="2"/>
        <v>95.903478077658747</v>
      </c>
      <c r="L12" s="126">
        <f t="shared" si="7"/>
        <v>-29.570000000000164</v>
      </c>
      <c r="M12" s="129">
        <f t="shared" si="8"/>
        <v>7.6000000000000085</v>
      </c>
      <c r="N12" s="129">
        <f t="shared" si="9"/>
        <v>3.4000000000000021</v>
      </c>
      <c r="O12" s="129">
        <f t="shared" si="10"/>
        <v>-25.370000000000157</v>
      </c>
      <c r="P12" s="126">
        <f t="shared" si="11"/>
        <v>874.38490000000968</v>
      </c>
      <c r="Q12" s="126">
        <f t="shared" si="12"/>
        <v>-29.570000000000164</v>
      </c>
      <c r="R12" s="130">
        <f t="shared" si="13"/>
        <v>2.8245583719680445E-3</v>
      </c>
      <c r="U12" s="124" t="s">
        <v>27</v>
      </c>
      <c r="V12" s="125">
        <f>C6</f>
        <v>1.099E-2</v>
      </c>
      <c r="W12" s="23">
        <f>V12</f>
        <v>1.099E-2</v>
      </c>
      <c r="Y12" s="97" t="s">
        <v>26</v>
      </c>
      <c r="Z12" s="107" cm="1">
        <f t="array" ref="Z12">BS_Vega("P",V8,V9,V10,V11,V12)</f>
        <v>293.88173901468622</v>
      </c>
      <c r="AA12" s="107" cm="1">
        <f t="array" ref="AA12">BS_Vega("P",W8,W9,W10,W11,W12)</f>
        <v>175.77223320499323</v>
      </c>
      <c r="AI12" s="3">
        <f t="shared" si="14"/>
        <v>1650</v>
      </c>
      <c r="AJ12" s="3">
        <f t="shared" si="3"/>
        <v>-751.69</v>
      </c>
      <c r="AK12" s="16">
        <f t="shared" si="4"/>
        <v>409</v>
      </c>
      <c r="AL12" s="16">
        <f t="shared" si="5"/>
        <v>231.1</v>
      </c>
      <c r="AM12" s="16">
        <f t="shared" si="6"/>
        <v>-573.79000000000008</v>
      </c>
    </row>
    <row r="13" spans="1:39">
      <c r="A13" s="4">
        <v>40003</v>
      </c>
      <c r="B13" s="3">
        <v>2313.87</v>
      </c>
      <c r="C13" s="11">
        <v>1.018E-2</v>
      </c>
      <c r="D13" s="6">
        <v>55.5</v>
      </c>
      <c r="E13" s="6">
        <v>24.5</v>
      </c>
      <c r="F13" s="12">
        <v>0.35629265878330152</v>
      </c>
      <c r="G13" s="12">
        <v>0.40302083664585592</v>
      </c>
      <c r="H13" s="13">
        <f t="shared" si="0"/>
        <v>2338.37</v>
      </c>
      <c r="I13" s="13">
        <f t="shared" si="1"/>
        <v>96.343408183404179</v>
      </c>
      <c r="J13" s="13">
        <f t="shared" si="2"/>
        <v>96.603307458099053</v>
      </c>
      <c r="L13" s="126">
        <f t="shared" si="7"/>
        <v>22.539999999999964</v>
      </c>
      <c r="M13" s="129">
        <f t="shared" si="8"/>
        <v>-10.400000000000006</v>
      </c>
      <c r="N13" s="129">
        <f t="shared" si="9"/>
        <v>-5.6000000000000014</v>
      </c>
      <c r="O13" s="129">
        <f t="shared" si="10"/>
        <v>17.739999999999959</v>
      </c>
      <c r="P13" s="126">
        <f t="shared" si="11"/>
        <v>508.05159999999836</v>
      </c>
      <c r="Q13" s="126">
        <f t="shared" si="12"/>
        <v>22.539999999999964</v>
      </c>
      <c r="R13" s="130">
        <f t="shared" si="13"/>
        <v>-1.2045776267158359E-2</v>
      </c>
      <c r="X13" s="25" t="s">
        <v>28</v>
      </c>
      <c r="AI13" s="3">
        <f t="shared" si="14"/>
        <v>1675</v>
      </c>
      <c r="AJ13" s="3">
        <f t="shared" si="3"/>
        <v>-726.69</v>
      </c>
      <c r="AK13" s="16">
        <f t="shared" si="4"/>
        <v>384</v>
      </c>
      <c r="AL13" s="16">
        <f t="shared" si="5"/>
        <v>206.1</v>
      </c>
      <c r="AM13" s="16">
        <f t="shared" si="6"/>
        <v>-548.79000000000008</v>
      </c>
    </row>
    <row r="14" spans="1:39">
      <c r="A14" s="4">
        <v>40004</v>
      </c>
      <c r="B14" s="3">
        <v>2281.4699999999998</v>
      </c>
      <c r="C14" s="11">
        <v>1.0069999999999999E-2</v>
      </c>
      <c r="D14" s="6">
        <v>61.1</v>
      </c>
      <c r="E14" s="6">
        <v>27</v>
      </c>
      <c r="F14" s="12">
        <v>0.35075921342855004</v>
      </c>
      <c r="G14" s="12">
        <v>0.39897248787548839</v>
      </c>
      <c r="H14" s="13">
        <f t="shared" si="0"/>
        <v>2308.4699999999998</v>
      </c>
      <c r="I14" s="13">
        <f t="shared" si="1"/>
        <v>94.994358139476773</v>
      </c>
      <c r="J14" s="13">
        <f t="shared" si="2"/>
        <v>95.368071420604053</v>
      </c>
      <c r="L14" s="126">
        <f t="shared" si="7"/>
        <v>-32.400000000000091</v>
      </c>
      <c r="M14" s="129">
        <f t="shared" si="8"/>
        <v>5.6000000000000014</v>
      </c>
      <c r="N14" s="129">
        <f t="shared" si="9"/>
        <v>2.5</v>
      </c>
      <c r="O14" s="129">
        <f t="shared" si="10"/>
        <v>-29.30000000000009</v>
      </c>
      <c r="P14" s="126">
        <f t="shared" si="11"/>
        <v>1049.7600000000059</v>
      </c>
      <c r="Q14" s="126">
        <f t="shared" si="12"/>
        <v>-32.400000000000091</v>
      </c>
      <c r="R14" s="130">
        <f t="shared" si="13"/>
        <v>-5.5334453547514761E-3</v>
      </c>
      <c r="X14" s="140" t="s">
        <v>29</v>
      </c>
      <c r="Y14" s="141"/>
      <c r="Z14" s="131" t="s">
        <v>30</v>
      </c>
      <c r="AA14" s="132"/>
      <c r="AB14" s="132"/>
      <c r="AC14" s="132"/>
      <c r="AD14" s="132"/>
      <c r="AE14" s="132"/>
      <c r="AF14" s="133"/>
      <c r="AI14" s="3">
        <f t="shared" si="14"/>
        <v>1700</v>
      </c>
      <c r="AJ14" s="3">
        <f t="shared" si="3"/>
        <v>-701.69</v>
      </c>
      <c r="AK14" s="16">
        <f t="shared" si="4"/>
        <v>359</v>
      </c>
      <c r="AL14" s="16">
        <f t="shared" si="5"/>
        <v>181.1</v>
      </c>
      <c r="AM14" s="16">
        <f t="shared" si="6"/>
        <v>-523.79000000000008</v>
      </c>
    </row>
    <row r="15" spans="1:39">
      <c r="A15" s="4">
        <v>40007</v>
      </c>
      <c r="B15" s="3">
        <v>2345.2199999999998</v>
      </c>
      <c r="C15" s="11">
        <v>9.9600000000000001E-3</v>
      </c>
      <c r="D15" s="6">
        <v>44.5</v>
      </c>
      <c r="E15" s="6">
        <v>18.7</v>
      </c>
      <c r="F15" s="12">
        <v>0.35301288918090989</v>
      </c>
      <c r="G15" s="12">
        <v>0.40025930756432559</v>
      </c>
      <c r="H15" s="13">
        <f t="shared" si="0"/>
        <v>2363.9199999999996</v>
      </c>
      <c r="I15" s="13">
        <f t="shared" si="1"/>
        <v>97.648739012945043</v>
      </c>
      <c r="J15" s="13">
        <f t="shared" si="2"/>
        <v>97.658835242647442</v>
      </c>
      <c r="L15" s="126">
        <f t="shared" si="7"/>
        <v>63.75</v>
      </c>
      <c r="M15" s="129">
        <f t="shared" si="8"/>
        <v>-16.600000000000001</v>
      </c>
      <c r="N15" s="129">
        <f t="shared" si="9"/>
        <v>-8.3000000000000007</v>
      </c>
      <c r="O15" s="129">
        <f t="shared" si="10"/>
        <v>55.45</v>
      </c>
      <c r="P15" s="126">
        <f t="shared" si="11"/>
        <v>4064.0625</v>
      </c>
      <c r="Q15" s="126">
        <f t="shared" si="12"/>
        <v>63.75</v>
      </c>
      <c r="R15" s="130">
        <f t="shared" si="13"/>
        <v>2.2536757523598516E-3</v>
      </c>
      <c r="X15" s="142"/>
      <c r="Y15" s="143"/>
      <c r="Z15" s="100">
        <v>-0.1</v>
      </c>
      <c r="AA15" s="103">
        <v>-0.05</v>
      </c>
      <c r="AB15" s="103">
        <v>-0.01</v>
      </c>
      <c r="AC15" s="103">
        <v>0</v>
      </c>
      <c r="AD15" s="103">
        <v>0.01</v>
      </c>
      <c r="AE15" s="103">
        <v>0.05</v>
      </c>
      <c r="AF15" s="104">
        <v>0.1</v>
      </c>
      <c r="AI15" s="3">
        <f t="shared" si="14"/>
        <v>1725</v>
      </c>
      <c r="AJ15" s="3">
        <f t="shared" si="3"/>
        <v>-676.69</v>
      </c>
      <c r="AK15" s="16">
        <f t="shared" si="4"/>
        <v>334</v>
      </c>
      <c r="AL15" s="16">
        <f t="shared" si="5"/>
        <v>156.1</v>
      </c>
      <c r="AM15" s="16">
        <f t="shared" si="6"/>
        <v>-498.79000000000008</v>
      </c>
    </row>
    <row r="16" spans="1:39">
      <c r="A16" s="4">
        <v>40008</v>
      </c>
      <c r="B16" s="3">
        <v>2370.71</v>
      </c>
      <c r="C16" s="11">
        <v>9.8499999999999994E-3</v>
      </c>
      <c r="D16" s="6">
        <v>37.1</v>
      </c>
      <c r="E16" s="6">
        <v>15.1</v>
      </c>
      <c r="F16" s="12">
        <v>0.34670622416263752</v>
      </c>
      <c r="G16" s="12">
        <v>0.39415453916065468</v>
      </c>
      <c r="H16" s="13">
        <f t="shared" si="0"/>
        <v>2385.81</v>
      </c>
      <c r="I16" s="13">
        <f t="shared" si="1"/>
        <v>98.710074988862004</v>
      </c>
      <c r="J16" s="13">
        <f t="shared" si="2"/>
        <v>98.563160221268362</v>
      </c>
      <c r="L16" s="126">
        <f t="shared" si="7"/>
        <v>25.490000000000236</v>
      </c>
      <c r="M16" s="129">
        <f t="shared" si="8"/>
        <v>-7.3999999999999986</v>
      </c>
      <c r="N16" s="129">
        <f t="shared" si="9"/>
        <v>-3.5999999999999996</v>
      </c>
      <c r="O16" s="129">
        <f t="shared" si="10"/>
        <v>21.690000000000239</v>
      </c>
      <c r="P16" s="126">
        <f t="shared" si="11"/>
        <v>649.74010000001203</v>
      </c>
      <c r="Q16" s="126">
        <f t="shared" si="12"/>
        <v>25.490000000000236</v>
      </c>
      <c r="R16" s="130">
        <f t="shared" si="13"/>
        <v>-6.3066650182723727E-3</v>
      </c>
      <c r="X16" s="134" t="s">
        <v>31</v>
      </c>
      <c r="Y16" s="100">
        <v>-0.1</v>
      </c>
      <c r="Z16" s="28">
        <f>$AD$8*($V$8*$Y16)+0.5*$AD$9*($V$8*$Y16)^2+$AD$11*Z$15+$AD$10</f>
        <v>-220.62395315864896</v>
      </c>
      <c r="AA16" s="29">
        <f t="shared" ref="Z16:AF22" si="16">$AD$8*($V$8*$Y16)+0.5*$AD$9*($V$8*$Y16)^2+$AD$11*AA$15+$AD$10</f>
        <v>-214.71847786816431</v>
      </c>
      <c r="AB16" s="29">
        <f t="shared" si="16"/>
        <v>-209.9940976357766</v>
      </c>
      <c r="AC16" s="29">
        <f t="shared" si="16"/>
        <v>-208.81300257767967</v>
      </c>
      <c r="AD16" s="29">
        <f t="shared" si="16"/>
        <v>-207.63190751958274</v>
      </c>
      <c r="AE16" s="29">
        <f t="shared" si="16"/>
        <v>-202.90752728719502</v>
      </c>
      <c r="AF16" s="30">
        <f t="shared" si="16"/>
        <v>-197.00205199671038</v>
      </c>
      <c r="AI16" s="3">
        <f t="shared" si="14"/>
        <v>1750</v>
      </c>
      <c r="AJ16" s="3">
        <f t="shared" si="3"/>
        <v>-651.69000000000005</v>
      </c>
      <c r="AK16" s="16">
        <f t="shared" si="4"/>
        <v>309</v>
      </c>
      <c r="AL16" s="16">
        <f t="shared" si="5"/>
        <v>131.1</v>
      </c>
      <c r="AM16" s="16">
        <f t="shared" si="6"/>
        <v>-473.79000000000008</v>
      </c>
    </row>
    <row r="17" spans="1:39">
      <c r="A17" s="4">
        <v>40009</v>
      </c>
      <c r="B17" s="3">
        <v>2451.02</v>
      </c>
      <c r="C17" s="11">
        <v>9.7900000000000001E-3</v>
      </c>
      <c r="D17" s="6">
        <v>23.7</v>
      </c>
      <c r="E17" s="6">
        <v>9.5</v>
      </c>
      <c r="F17" s="12">
        <v>0.34448573616434469</v>
      </c>
      <c r="G17" s="12">
        <v>0.39386274662255455</v>
      </c>
      <c r="H17" s="13">
        <f t="shared" si="0"/>
        <v>2460.52</v>
      </c>
      <c r="I17" s="13">
        <f t="shared" si="1"/>
        <v>102.0539703292265</v>
      </c>
      <c r="J17" s="13">
        <f t="shared" si="2"/>
        <v>101.64959782532357</v>
      </c>
      <c r="L17" s="126">
        <f t="shared" si="7"/>
        <v>80.309999999999945</v>
      </c>
      <c r="M17" s="129">
        <f t="shared" si="8"/>
        <v>-13.400000000000002</v>
      </c>
      <c r="N17" s="129">
        <f t="shared" si="9"/>
        <v>-5.6</v>
      </c>
      <c r="O17" s="129">
        <f t="shared" si="10"/>
        <v>72.509999999999934</v>
      </c>
      <c r="P17" s="126">
        <f t="shared" si="11"/>
        <v>6449.696099999991</v>
      </c>
      <c r="Q17" s="126">
        <f t="shared" si="12"/>
        <v>80.309999999999945</v>
      </c>
      <c r="R17" s="130">
        <f t="shared" si="13"/>
        <v>-2.2204879982928305E-3</v>
      </c>
      <c r="X17" s="135"/>
      <c r="Y17" s="101">
        <v>-0.05</v>
      </c>
      <c r="Z17" s="31">
        <f t="shared" si="16"/>
        <v>-118.59894720640793</v>
      </c>
      <c r="AA17" s="114">
        <f t="shared" si="16"/>
        <v>-112.69347191592327</v>
      </c>
      <c r="AB17" s="114">
        <f t="shared" si="16"/>
        <v>-107.96909168353555</v>
      </c>
      <c r="AC17" s="114">
        <f t="shared" si="16"/>
        <v>-106.78799662543862</v>
      </c>
      <c r="AD17" s="114">
        <f t="shared" si="16"/>
        <v>-105.60690156734169</v>
      </c>
      <c r="AE17" s="114">
        <f t="shared" si="16"/>
        <v>-100.88252133495398</v>
      </c>
      <c r="AF17" s="32">
        <f t="shared" si="16"/>
        <v>-94.977046044469319</v>
      </c>
      <c r="AI17" s="3">
        <f t="shared" si="14"/>
        <v>1775</v>
      </c>
      <c r="AJ17" s="3">
        <f t="shared" si="3"/>
        <v>-626.69000000000005</v>
      </c>
      <c r="AK17" s="16">
        <f t="shared" si="4"/>
        <v>284</v>
      </c>
      <c r="AL17" s="16">
        <f t="shared" si="5"/>
        <v>106.1</v>
      </c>
      <c r="AM17" s="16">
        <f t="shared" si="6"/>
        <v>-448.79000000000008</v>
      </c>
    </row>
    <row r="18" spans="1:39">
      <c r="A18" s="4">
        <v>40010</v>
      </c>
      <c r="B18" s="3">
        <v>2458.9699999999998</v>
      </c>
      <c r="C18" s="11">
        <v>9.689999999999999E-3</v>
      </c>
      <c r="D18" s="6">
        <v>22.2</v>
      </c>
      <c r="E18" s="6">
        <v>8.9</v>
      </c>
      <c r="F18" s="12">
        <v>0.34457483519442694</v>
      </c>
      <c r="G18" s="12">
        <v>0.39502799424716989</v>
      </c>
      <c r="H18" s="13">
        <f t="shared" si="0"/>
        <v>2467.87</v>
      </c>
      <c r="I18" s="13">
        <f t="shared" si="1"/>
        <v>102.38498723815313</v>
      </c>
      <c r="J18" s="13">
        <f t="shared" si="2"/>
        <v>101.95324280444022</v>
      </c>
      <c r="L18" s="126">
        <f t="shared" si="7"/>
        <v>7.9499999999998181</v>
      </c>
      <c r="M18" s="129">
        <f t="shared" si="8"/>
        <v>-1.5</v>
      </c>
      <c r="N18" s="129">
        <f t="shared" si="9"/>
        <v>-0.59999999999999964</v>
      </c>
      <c r="O18" s="129">
        <f t="shared" si="10"/>
        <v>7.0499999999998177</v>
      </c>
      <c r="P18" s="126">
        <f t="shared" si="11"/>
        <v>63.202499999997109</v>
      </c>
      <c r="Q18" s="126">
        <f t="shared" si="12"/>
        <v>7.9499999999998181</v>
      </c>
      <c r="R18" s="130">
        <f t="shared" si="13"/>
        <v>8.9099030082251396E-5</v>
      </c>
      <c r="X18" s="135"/>
      <c r="Y18" s="101">
        <v>-0.01</v>
      </c>
      <c r="Z18" s="31">
        <f t="shared" si="16"/>
        <v>-33.69136306093273</v>
      </c>
      <c r="AA18" s="114">
        <f t="shared" si="16"/>
        <v>-27.785887770448078</v>
      </c>
      <c r="AB18" s="114">
        <f t="shared" si="16"/>
        <v>-23.061507538060358</v>
      </c>
      <c r="AC18" s="114">
        <f t="shared" si="16"/>
        <v>-21.880412479963429</v>
      </c>
      <c r="AD18" s="114">
        <f t="shared" si="16"/>
        <v>-20.6993174218665</v>
      </c>
      <c r="AE18" s="114">
        <f t="shared" si="16"/>
        <v>-15.974937189478782</v>
      </c>
      <c r="AF18" s="32">
        <f t="shared" si="16"/>
        <v>-10.069461898994131</v>
      </c>
      <c r="AI18" s="3">
        <f t="shared" si="14"/>
        <v>1800</v>
      </c>
      <c r="AJ18" s="3">
        <f t="shared" si="3"/>
        <v>-601.69000000000005</v>
      </c>
      <c r="AK18" s="16">
        <f t="shared" si="4"/>
        <v>259</v>
      </c>
      <c r="AL18" s="16">
        <f t="shared" si="5"/>
        <v>81.099999999999994</v>
      </c>
      <c r="AM18" s="16">
        <f t="shared" si="6"/>
        <v>-423.79000000000008</v>
      </c>
    </row>
    <row r="19" spans="1:39">
      <c r="A19" s="4">
        <v>40011</v>
      </c>
      <c r="B19" s="3">
        <v>2469.1999999999998</v>
      </c>
      <c r="C19" s="11">
        <v>9.5399999999999999E-3</v>
      </c>
      <c r="D19" s="6">
        <v>19.5</v>
      </c>
      <c r="E19" s="6">
        <v>7.8</v>
      </c>
      <c r="F19" s="12">
        <v>0.33948558816649727</v>
      </c>
      <c r="G19" s="12">
        <v>0.39189174286430739</v>
      </c>
      <c r="H19" s="13">
        <f t="shared" si="0"/>
        <v>2477</v>
      </c>
      <c r="I19" s="13">
        <f t="shared" si="1"/>
        <v>102.81093729831909</v>
      </c>
      <c r="J19" s="13">
        <f t="shared" si="2"/>
        <v>102.33042357441779</v>
      </c>
      <c r="L19" s="126">
        <f t="shared" si="7"/>
        <v>10.230000000000018</v>
      </c>
      <c r="M19" s="129">
        <f t="shared" si="8"/>
        <v>-2.6999999999999993</v>
      </c>
      <c r="N19" s="129">
        <f t="shared" si="9"/>
        <v>-1.1000000000000005</v>
      </c>
      <c r="O19" s="129">
        <f t="shared" si="10"/>
        <v>8.6300000000000203</v>
      </c>
      <c r="P19" s="126">
        <f t="shared" si="11"/>
        <v>104.65290000000037</v>
      </c>
      <c r="Q19" s="126">
        <f t="shared" si="12"/>
        <v>10.230000000000018</v>
      </c>
      <c r="R19" s="130">
        <f t="shared" si="13"/>
        <v>-5.0892470279296775E-3</v>
      </c>
      <c r="X19" s="135"/>
      <c r="Y19" s="101">
        <v>0</v>
      </c>
      <c r="Z19" s="31">
        <f t="shared" si="16"/>
        <v>-12.007858776830261</v>
      </c>
      <c r="AA19" s="114">
        <f t="shared" si="16"/>
        <v>-6.1023834863456106</v>
      </c>
      <c r="AB19" s="114">
        <f t="shared" si="16"/>
        <v>-1.3780032539578912</v>
      </c>
      <c r="AC19" s="114">
        <f t="shared" si="16"/>
        <v>-0.1969081958609612</v>
      </c>
      <c r="AD19" s="114">
        <f t="shared" si="16"/>
        <v>0.98418686223596874</v>
      </c>
      <c r="AE19" s="114">
        <f t="shared" si="16"/>
        <v>5.7085670946236888</v>
      </c>
      <c r="AF19" s="32">
        <f t="shared" si="16"/>
        <v>11.614042385108338</v>
      </c>
      <c r="AI19" s="3">
        <f t="shared" si="14"/>
        <v>1825</v>
      </c>
      <c r="AJ19" s="3">
        <f t="shared" si="3"/>
        <v>-576.69000000000005</v>
      </c>
      <c r="AK19" s="16">
        <f t="shared" si="4"/>
        <v>234</v>
      </c>
      <c r="AL19" s="16">
        <f t="shared" si="5"/>
        <v>56.1</v>
      </c>
      <c r="AM19" s="16">
        <f t="shared" si="6"/>
        <v>-398.79000000000008</v>
      </c>
    </row>
    <row r="20" spans="1:39">
      <c r="A20" s="4">
        <v>40014</v>
      </c>
      <c r="B20" s="3">
        <v>2500.69</v>
      </c>
      <c r="C20" s="11">
        <v>9.4399999999999987E-3</v>
      </c>
      <c r="D20" s="6">
        <v>16.5</v>
      </c>
      <c r="E20" s="6">
        <v>6.7</v>
      </c>
      <c r="F20" s="12">
        <v>0.34881913240568135</v>
      </c>
      <c r="G20" s="12">
        <v>0.40372307196543861</v>
      </c>
      <c r="H20" s="13">
        <f t="shared" si="0"/>
        <v>2507.39</v>
      </c>
      <c r="I20" s="13">
        <f t="shared" si="1"/>
        <v>104.12209735644484</v>
      </c>
      <c r="J20" s="13">
        <f t="shared" si="2"/>
        <v>103.58590261052056</v>
      </c>
      <c r="L20" s="126">
        <f t="shared" si="7"/>
        <v>31.490000000000236</v>
      </c>
      <c r="M20" s="129">
        <f t="shared" si="8"/>
        <v>-3</v>
      </c>
      <c r="N20" s="129">
        <f t="shared" si="9"/>
        <v>-1.0999999999999996</v>
      </c>
      <c r="O20" s="129">
        <f t="shared" si="10"/>
        <v>29.590000000000238</v>
      </c>
      <c r="P20" s="126">
        <f t="shared" si="11"/>
        <v>991.62010000001487</v>
      </c>
      <c r="Q20" s="126">
        <f t="shared" si="12"/>
        <v>31.490000000000236</v>
      </c>
      <c r="R20" s="130">
        <f t="shared" si="13"/>
        <v>9.3335442391840884E-3</v>
      </c>
      <c r="X20" s="135"/>
      <c r="Y20" s="101">
        <v>0.01</v>
      </c>
      <c r="Z20" s="31">
        <f t="shared" si="16"/>
        <v>9.8582888063656711</v>
      </c>
      <c r="AA20" s="114">
        <f t="shared" si="16"/>
        <v>15.763764096850322</v>
      </c>
      <c r="AB20" s="114">
        <f t="shared" si="16"/>
        <v>20.488144329238043</v>
      </c>
      <c r="AC20" s="114">
        <f t="shared" si="16"/>
        <v>21.669239387334972</v>
      </c>
      <c r="AD20" s="114">
        <f t="shared" si="16"/>
        <v>22.850334445431901</v>
      </c>
      <c r="AE20" s="114">
        <f t="shared" si="16"/>
        <v>27.574714677819621</v>
      </c>
      <c r="AF20" s="32">
        <f t="shared" si="16"/>
        <v>33.480189968304266</v>
      </c>
      <c r="AI20" s="3">
        <f t="shared" si="14"/>
        <v>1850</v>
      </c>
      <c r="AJ20" s="3">
        <f t="shared" si="3"/>
        <v>-551.69000000000005</v>
      </c>
      <c r="AK20" s="16">
        <f t="shared" si="4"/>
        <v>209</v>
      </c>
      <c r="AL20" s="16">
        <f t="shared" si="5"/>
        <v>31.1</v>
      </c>
      <c r="AM20" s="16">
        <f t="shared" si="6"/>
        <v>-373.79000000000008</v>
      </c>
    </row>
    <row r="21" spans="1:39">
      <c r="A21" s="4">
        <v>40015</v>
      </c>
      <c r="B21" s="3">
        <v>2519.9899999999998</v>
      </c>
      <c r="C21" s="11">
        <v>9.3699999999999999E-3</v>
      </c>
      <c r="D21" s="6">
        <v>14.6</v>
      </c>
      <c r="E21" s="6">
        <v>5.8</v>
      </c>
      <c r="F21" s="12">
        <v>0.35061953723934824</v>
      </c>
      <c r="G21" s="12">
        <v>0.40454003566666946</v>
      </c>
      <c r="H21" s="13">
        <f t="shared" si="0"/>
        <v>2525.79</v>
      </c>
      <c r="I21" s="13">
        <f t="shared" si="1"/>
        <v>104.92569815421639</v>
      </c>
      <c r="J21" s="13">
        <f t="shared" si="2"/>
        <v>104.34604786436364</v>
      </c>
      <c r="L21" s="126">
        <f t="shared" si="7"/>
        <v>19.299999999999727</v>
      </c>
      <c r="M21" s="129">
        <f t="shared" si="8"/>
        <v>-1.9000000000000004</v>
      </c>
      <c r="N21" s="129">
        <f t="shared" si="9"/>
        <v>-0.90000000000000036</v>
      </c>
      <c r="O21" s="129">
        <f t="shared" si="10"/>
        <v>18.299999999999727</v>
      </c>
      <c r="P21" s="126">
        <f t="shared" si="11"/>
        <v>372.48999999998949</v>
      </c>
      <c r="Q21" s="126">
        <f t="shared" si="12"/>
        <v>19.299999999999727</v>
      </c>
      <c r="R21" s="130">
        <f t="shared" si="13"/>
        <v>1.800404833666891E-3</v>
      </c>
      <c r="X21" s="135"/>
      <c r="Y21" s="101">
        <v>0.05</v>
      </c>
      <c r="Z21" s="31">
        <f t="shared" si="16"/>
        <v>99.14931213008407</v>
      </c>
      <c r="AA21" s="114">
        <f t="shared" si="16"/>
        <v>105.05478742056873</v>
      </c>
      <c r="AB21" s="114">
        <f t="shared" si="16"/>
        <v>109.77916765295645</v>
      </c>
      <c r="AC21" s="114">
        <f t="shared" si="16"/>
        <v>110.96026271105337</v>
      </c>
      <c r="AD21" s="114">
        <f t="shared" si="16"/>
        <v>112.1413577691503</v>
      </c>
      <c r="AE21" s="114">
        <f t="shared" si="16"/>
        <v>116.86573800153802</v>
      </c>
      <c r="AF21" s="32">
        <f t="shared" si="16"/>
        <v>122.77121329202268</v>
      </c>
      <c r="AI21" s="3">
        <f t="shared" si="14"/>
        <v>1875</v>
      </c>
      <c r="AJ21" s="3">
        <f t="shared" si="3"/>
        <v>-526.69000000000005</v>
      </c>
      <c r="AK21" s="16">
        <f t="shared" si="4"/>
        <v>184</v>
      </c>
      <c r="AL21" s="16">
        <f t="shared" si="5"/>
        <v>6.1000000000000014</v>
      </c>
      <c r="AM21" s="16">
        <f t="shared" si="6"/>
        <v>-348.79000000000008</v>
      </c>
    </row>
    <row r="22" spans="1:39">
      <c r="A22" s="4">
        <v>40016</v>
      </c>
      <c r="B22" s="3">
        <v>2528.85</v>
      </c>
      <c r="C22" s="11">
        <v>9.3299999999999998E-3</v>
      </c>
      <c r="D22" s="6">
        <v>14</v>
      </c>
      <c r="E22" s="6">
        <v>5.5</v>
      </c>
      <c r="F22" s="12">
        <v>0.35446092107140453</v>
      </c>
      <c r="G22" s="12">
        <v>0.40787613102200643</v>
      </c>
      <c r="H22" s="13">
        <f t="shared" si="0"/>
        <v>2534.35</v>
      </c>
      <c r="I22" s="13">
        <f t="shared" si="1"/>
        <v>105.2946050489447</v>
      </c>
      <c r="J22" s="13">
        <f t="shared" si="2"/>
        <v>104.6996806563689</v>
      </c>
      <c r="L22" s="126">
        <f t="shared" si="7"/>
        <v>8.8600000000001273</v>
      </c>
      <c r="M22" s="129">
        <f t="shared" si="8"/>
        <v>-0.59999999999999964</v>
      </c>
      <c r="N22" s="129">
        <f t="shared" si="9"/>
        <v>-0.29999999999999982</v>
      </c>
      <c r="O22" s="129">
        <f t="shared" si="10"/>
        <v>8.5600000000001266</v>
      </c>
      <c r="P22" s="126">
        <f t="shared" si="11"/>
        <v>78.49960000000226</v>
      </c>
      <c r="Q22" s="126">
        <f t="shared" si="12"/>
        <v>8.8600000000001273</v>
      </c>
      <c r="R22" s="130">
        <f t="shared" si="13"/>
        <v>3.8413838320562887E-3</v>
      </c>
      <c r="X22" s="136"/>
      <c r="Y22" s="102">
        <v>0.1</v>
      </c>
      <c r="Z22" s="33">
        <f t="shared" si="16"/>
        <v>214.87256551433504</v>
      </c>
      <c r="AA22" s="34">
        <f t="shared" si="16"/>
        <v>220.77804080481968</v>
      </c>
      <c r="AB22" s="34">
        <f t="shared" si="16"/>
        <v>225.5024210372074</v>
      </c>
      <c r="AC22" s="34">
        <f t="shared" si="16"/>
        <v>226.68351609530433</v>
      </c>
      <c r="AD22" s="34">
        <f t="shared" si="16"/>
        <v>227.86461115340126</v>
      </c>
      <c r="AE22" s="34">
        <f t="shared" si="16"/>
        <v>232.58899138578897</v>
      </c>
      <c r="AF22" s="35">
        <f>$AD$8*($V$8*$Y22)+0.5*$AD$9*($V$8*$Y22)^2+$AD$11*AF$15+$AD$10</f>
        <v>238.49446667627362</v>
      </c>
      <c r="AI22" s="3">
        <f t="shared" si="14"/>
        <v>1900</v>
      </c>
      <c r="AJ22" s="3">
        <f t="shared" si="3"/>
        <v>-501.69000000000005</v>
      </c>
      <c r="AK22" s="16">
        <f t="shared" si="4"/>
        <v>159</v>
      </c>
      <c r="AL22" s="16">
        <f t="shared" si="5"/>
        <v>-18.899999999999999</v>
      </c>
      <c r="AM22" s="16">
        <f t="shared" si="6"/>
        <v>-323.79000000000008</v>
      </c>
    </row>
    <row r="23" spans="1:39">
      <c r="A23" s="4">
        <v>40017</v>
      </c>
      <c r="B23" s="3">
        <v>2585.79</v>
      </c>
      <c r="C23" s="11">
        <v>9.2700000000000005E-3</v>
      </c>
      <c r="D23" s="6">
        <v>9.3000000000000007</v>
      </c>
      <c r="E23" s="6">
        <v>3.8</v>
      </c>
      <c r="F23" s="12">
        <v>0.35166765117482168</v>
      </c>
      <c r="G23" s="12">
        <v>0.40918932748565801</v>
      </c>
      <c r="H23" s="13">
        <f t="shared" si="0"/>
        <v>2589.59</v>
      </c>
      <c r="I23" s="13">
        <f t="shared" si="1"/>
        <v>107.665435589106</v>
      </c>
      <c r="J23" s="13">
        <f t="shared" si="2"/>
        <v>106.98176890758037</v>
      </c>
      <c r="L23" s="126">
        <f t="shared" si="7"/>
        <v>56.940000000000055</v>
      </c>
      <c r="M23" s="129">
        <f t="shared" si="8"/>
        <v>-4.6999999999999993</v>
      </c>
      <c r="N23" s="129">
        <f t="shared" si="9"/>
        <v>-1.7000000000000002</v>
      </c>
      <c r="O23" s="129">
        <f t="shared" si="10"/>
        <v>53.940000000000055</v>
      </c>
      <c r="P23" s="126">
        <f t="shared" si="11"/>
        <v>3242.1636000000062</v>
      </c>
      <c r="Q23" s="126">
        <f t="shared" si="12"/>
        <v>56.940000000000055</v>
      </c>
      <c r="R23" s="130">
        <f t="shared" si="13"/>
        <v>-2.7932698965828506E-3</v>
      </c>
      <c r="AI23" s="3">
        <f t="shared" si="14"/>
        <v>1925</v>
      </c>
      <c r="AJ23" s="3">
        <f t="shared" si="3"/>
        <v>-476.69000000000005</v>
      </c>
      <c r="AK23" s="16">
        <f t="shared" si="4"/>
        <v>134</v>
      </c>
      <c r="AL23" s="16">
        <f t="shared" si="5"/>
        <v>-18.899999999999999</v>
      </c>
      <c r="AM23" s="16">
        <f t="shared" si="6"/>
        <v>-323.79000000000008</v>
      </c>
    </row>
    <row r="24" spans="1:39">
      <c r="A24" s="4">
        <v>40018</v>
      </c>
      <c r="B24" s="3">
        <v>2582.7600000000002</v>
      </c>
      <c r="C24" s="11">
        <v>9.2100000000000012E-3</v>
      </c>
      <c r="D24" s="6">
        <v>9.9</v>
      </c>
      <c r="E24" s="6">
        <v>4.0999999999999996</v>
      </c>
      <c r="F24" s="12">
        <v>0.35830891611044402</v>
      </c>
      <c r="G24" s="12">
        <v>0.41682469575769843</v>
      </c>
      <c r="H24" s="13">
        <f t="shared" si="0"/>
        <v>2586.86</v>
      </c>
      <c r="I24" s="13">
        <f t="shared" si="1"/>
        <v>107.53927442759057</v>
      </c>
      <c r="J24" s="13">
        <f t="shared" si="2"/>
        <v>106.86898648676562</v>
      </c>
      <c r="L24" s="126">
        <f t="shared" si="7"/>
        <v>-3.0299999999997453</v>
      </c>
      <c r="M24" s="129">
        <f t="shared" si="8"/>
        <v>0.59999999999999964</v>
      </c>
      <c r="N24" s="129">
        <f t="shared" si="9"/>
        <v>0.29999999999999982</v>
      </c>
      <c r="O24" s="129">
        <f t="shared" si="10"/>
        <v>-2.7299999999997455</v>
      </c>
      <c r="P24" s="126">
        <f t="shared" si="11"/>
        <v>9.1808999999984575</v>
      </c>
      <c r="Q24" s="126">
        <f t="shared" si="12"/>
        <v>-3.0299999999997453</v>
      </c>
      <c r="R24" s="130">
        <f t="shared" si="13"/>
        <v>6.6412649356223374E-3</v>
      </c>
      <c r="X24" s="36" t="s">
        <v>32</v>
      </c>
      <c r="AI24" s="3">
        <f t="shared" si="14"/>
        <v>1950</v>
      </c>
      <c r="AJ24" s="3">
        <f t="shared" si="3"/>
        <v>-451.69000000000005</v>
      </c>
      <c r="AK24" s="16">
        <f t="shared" si="4"/>
        <v>109</v>
      </c>
      <c r="AL24" s="16">
        <f t="shared" si="5"/>
        <v>-18.899999999999999</v>
      </c>
      <c r="AM24" s="16">
        <f t="shared" si="6"/>
        <v>-323.79000000000008</v>
      </c>
    </row>
    <row r="25" spans="1:39">
      <c r="A25" s="4">
        <v>40021</v>
      </c>
      <c r="B25" s="3">
        <v>2601.41</v>
      </c>
      <c r="C25" s="11">
        <v>9.1400000000000006E-3</v>
      </c>
      <c r="D25" s="6">
        <v>9</v>
      </c>
      <c r="E25" s="6">
        <v>3.8</v>
      </c>
      <c r="F25" s="12">
        <v>0.36968909052708099</v>
      </c>
      <c r="G25" s="12">
        <v>0.43086803934600265</v>
      </c>
      <c r="H25" s="13">
        <f t="shared" si="0"/>
        <v>2605.21</v>
      </c>
      <c r="I25" s="13">
        <f t="shared" si="1"/>
        <v>108.31581094978951</v>
      </c>
      <c r="J25" s="13">
        <f t="shared" si="2"/>
        <v>107.62706612850586</v>
      </c>
      <c r="L25" s="126">
        <f t="shared" si="7"/>
        <v>18.649999999999636</v>
      </c>
      <c r="M25" s="129">
        <f t="shared" si="8"/>
        <v>-0.90000000000000036</v>
      </c>
      <c r="N25" s="129">
        <f t="shared" si="9"/>
        <v>-0.29999999999999982</v>
      </c>
      <c r="O25" s="129">
        <f t="shared" si="10"/>
        <v>18.049999999999638</v>
      </c>
      <c r="P25" s="126">
        <f t="shared" si="11"/>
        <v>347.82249999998641</v>
      </c>
      <c r="Q25" s="126">
        <f t="shared" si="12"/>
        <v>18.649999999999636</v>
      </c>
      <c r="R25" s="130">
        <f t="shared" si="13"/>
        <v>1.1380174416636968E-2</v>
      </c>
      <c r="X25" s="140" t="s">
        <v>29</v>
      </c>
      <c r="Y25" s="141"/>
      <c r="Z25" s="131" t="s">
        <v>30</v>
      </c>
      <c r="AA25" s="132"/>
      <c r="AB25" s="132"/>
      <c r="AC25" s="132"/>
      <c r="AD25" s="132"/>
      <c r="AE25" s="132"/>
      <c r="AF25" s="133"/>
      <c r="AI25" s="3">
        <f>AI24+25</f>
        <v>1975</v>
      </c>
      <c r="AJ25" s="3">
        <f t="shared" si="3"/>
        <v>-426.69000000000005</v>
      </c>
      <c r="AK25" s="16">
        <f t="shared" si="4"/>
        <v>84</v>
      </c>
      <c r="AL25" s="16">
        <f t="shared" si="5"/>
        <v>-18.899999999999999</v>
      </c>
      <c r="AM25" s="16">
        <f t="shared" si="6"/>
        <v>-323.79000000000008</v>
      </c>
    </row>
    <row r="26" spans="1:39">
      <c r="A26" s="4">
        <v>40022</v>
      </c>
      <c r="B26" s="3">
        <v>2573.08</v>
      </c>
      <c r="C26" s="11">
        <v>9.0799999999999995E-3</v>
      </c>
      <c r="D26" s="6">
        <v>10</v>
      </c>
      <c r="E26" s="6">
        <v>4.0999999999999996</v>
      </c>
      <c r="F26" s="12">
        <v>0.36749648268388113</v>
      </c>
      <c r="G26" s="12">
        <v>0.42817307761206114</v>
      </c>
      <c r="H26" s="13">
        <f t="shared" si="0"/>
        <v>2577.1799999999998</v>
      </c>
      <c r="I26" s="13">
        <f t="shared" si="1"/>
        <v>107.13622490829373</v>
      </c>
      <c r="J26" s="13">
        <f t="shared" si="2"/>
        <v>106.46908398365686</v>
      </c>
      <c r="L26" s="126">
        <f t="shared" si="7"/>
        <v>-28.329999999999927</v>
      </c>
      <c r="M26" s="129">
        <f t="shared" si="8"/>
        <v>1</v>
      </c>
      <c r="N26" s="129">
        <f t="shared" si="9"/>
        <v>0.29999999999999982</v>
      </c>
      <c r="O26" s="129">
        <f t="shared" si="10"/>
        <v>-27.629999999999928</v>
      </c>
      <c r="P26" s="126">
        <f t="shared" si="11"/>
        <v>802.58889999999587</v>
      </c>
      <c r="Q26" s="126">
        <f t="shared" si="12"/>
        <v>-28.329999999999927</v>
      </c>
      <c r="R26" s="130">
        <f t="shared" si="13"/>
        <v>-2.1926078431998564E-3</v>
      </c>
      <c r="X26" s="142"/>
      <c r="Y26" s="143"/>
      <c r="Z26" s="100">
        <v>-0.1</v>
      </c>
      <c r="AA26" s="103">
        <v>-0.05</v>
      </c>
      <c r="AB26" s="103">
        <v>-0.01</v>
      </c>
      <c r="AC26" s="103">
        <v>0</v>
      </c>
      <c r="AD26" s="103">
        <v>0.01</v>
      </c>
      <c r="AE26" s="103">
        <v>0.05</v>
      </c>
      <c r="AF26" s="104">
        <v>0.1</v>
      </c>
      <c r="AI26" s="3">
        <f t="shared" si="14"/>
        <v>2000</v>
      </c>
      <c r="AJ26" s="3">
        <f t="shared" si="3"/>
        <v>-401.69000000000005</v>
      </c>
      <c r="AK26" s="16">
        <f t="shared" si="4"/>
        <v>59</v>
      </c>
      <c r="AL26" s="16">
        <f t="shared" si="5"/>
        <v>-18.899999999999999</v>
      </c>
      <c r="AM26" s="16">
        <f t="shared" si="6"/>
        <v>-323.79000000000008</v>
      </c>
    </row>
    <row r="27" spans="1:39">
      <c r="A27" s="4">
        <v>40023</v>
      </c>
      <c r="B27" s="3">
        <v>2600.31</v>
      </c>
      <c r="C27" s="11">
        <v>9.0299999999999998E-3</v>
      </c>
      <c r="D27" s="6">
        <v>8.6</v>
      </c>
      <c r="E27" s="6">
        <v>3.6</v>
      </c>
      <c r="F27" s="12">
        <v>0.37247030192903946</v>
      </c>
      <c r="G27" s="12">
        <v>0.43478128768953139</v>
      </c>
      <c r="H27" s="13">
        <f t="shared" si="0"/>
        <v>2603.91</v>
      </c>
      <c r="I27" s="13">
        <f t="shared" si="1"/>
        <v>108.27000986805125</v>
      </c>
      <c r="J27" s="13">
        <f t="shared" si="2"/>
        <v>107.57336021383215</v>
      </c>
      <c r="L27" s="126">
        <f t="shared" si="7"/>
        <v>27.230000000000018</v>
      </c>
      <c r="M27" s="129">
        <f t="shared" si="8"/>
        <v>-1.4000000000000004</v>
      </c>
      <c r="N27" s="129">
        <f t="shared" si="9"/>
        <v>-0.49999999999999956</v>
      </c>
      <c r="O27" s="129">
        <f t="shared" si="10"/>
        <v>26.33000000000002</v>
      </c>
      <c r="P27" s="126">
        <f t="shared" si="11"/>
        <v>741.472900000001</v>
      </c>
      <c r="Q27" s="126">
        <f t="shared" si="12"/>
        <v>27.230000000000018</v>
      </c>
      <c r="R27" s="130">
        <f t="shared" si="13"/>
        <v>4.9738192451583285E-3</v>
      </c>
      <c r="X27" s="134" t="s">
        <v>31</v>
      </c>
      <c r="Y27" s="100">
        <v>-0.1</v>
      </c>
      <c r="Z27" s="28" cm="1">
        <f t="array" ref="Z27">($V$8*(1+$Y27)-$V$8)+(BS_Price("P",$V$8*(1+$Y27),$V$9,$V$10+Z$26,$V$11-1/365,$V$12)-$Z$8)-(BS_Price("P",$W$8*(1+$Y27),$W$9,$W$10+Z$26,$W$11-1/365,$W$12)-$AA$8)</f>
        <v>-219.32415229593192</v>
      </c>
      <c r="AA27" s="29" cm="1">
        <f t="array" ref="AA27">($V$8*(1+$Y27)-$V$8)+(BS_Price("P",$V$8*(1+$Y27),$V$9,$V$10+AA$26,$V$11-1/365,$V$12)-$Z$8)-(BS_Price("P",$W$8*(1+$Y27),$W$9,$W$10+AA$26,$W$11-1/365,$W$12)-$AA$8)</f>
        <v>-212.91709868105687</v>
      </c>
      <c r="AB27" s="29" cm="1">
        <f t="array" ref="AB27">($V$8*(1+$Y27)-$V$8)+(BS_Price("P",$V$8*(1+$Y27),$V$9,$V$10+AB$26,$V$11-1/365,$V$12)-$Z$8)-(BS_Price("P",$W$8*(1+$Y27),$W$9,$W$10+AB$26,$W$11-1/365,$W$12)-$AA$8)</f>
        <v>-208.627248561025</v>
      </c>
      <c r="AC27" s="29" cm="1">
        <f t="array" ref="AC27">($V$8*(1+$Y27)-$V$8)+(BS_Price("P",$V$8*(1+$Y27),$V$9,$V$10+AC$26,$V$11-1/365,$V$12)-$Z$8)-(BS_Price("P",$W$8*(1+$Y27),$W$9,$W$10+AC$26,$W$11-1/365,$W$12)-$AA$8)</f>
        <v>-207.64864632376123</v>
      </c>
      <c r="AD27" s="29" cm="1">
        <f t="array" ref="AD27">($V$8*(1+$Y27)-$V$8)+(BS_Price("P",$V$8*(1+$Y27),$V$9,$V$10+AD$26,$V$11-1/365,$V$12)-$Z$8)-(BS_Price("P",$W$8*(1+$Y27),$W$9,$W$10+AD$26,$W$11-1/365,$W$12)-$AA$8)</f>
        <v>-206.70321044849081</v>
      </c>
      <c r="AE27" s="29" cm="1">
        <f t="array" ref="AE27">($V$8*(1+$Y27)-$V$8)+(BS_Price("P",$V$8*(1+$Y27),$V$9,$V$10+AE$26,$V$11-1/365,$V$12)-$Z$8)-(BS_Price("P",$W$8*(1+$Y27),$W$9,$W$10+AE$26,$W$11-1/365,$W$12)-$AA$8)</f>
        <v>-203.21652379506043</v>
      </c>
      <c r="AF27" s="30" cm="1">
        <f t="array" ref="AF27">($V$8*(1+$Y27)-$V$8)+(BS_Price("P",$V$8*(1+$Y27),$V$9,$V$10+AF$26,$V$11-1/365,$V$12)-$Z$8)-(BS_Price("P",$W$8*(1+$Y27),$W$9,$W$10+AF$26,$W$11-1/365,$W$12)-$AA$8)</f>
        <v>-199.40852415868352</v>
      </c>
      <c r="AI27" s="3">
        <f t="shared" si="14"/>
        <v>2025</v>
      </c>
      <c r="AJ27" s="3">
        <f t="shared" si="3"/>
        <v>-376.69000000000005</v>
      </c>
      <c r="AK27" s="16">
        <f t="shared" si="4"/>
        <v>34</v>
      </c>
      <c r="AL27" s="16">
        <f t="shared" si="5"/>
        <v>-18.899999999999999</v>
      </c>
      <c r="AM27" s="16">
        <f t="shared" si="6"/>
        <v>-323.79000000000008</v>
      </c>
    </row>
    <row r="28" spans="1:39">
      <c r="A28" s="4">
        <v>40024</v>
      </c>
      <c r="B28" s="3">
        <v>2654.74</v>
      </c>
      <c r="C28" s="11">
        <v>8.9899999999999997E-3</v>
      </c>
      <c r="D28" s="6">
        <v>6.3</v>
      </c>
      <c r="E28" s="6">
        <v>2.8</v>
      </c>
      <c r="F28" s="12">
        <v>0.37846690584708031</v>
      </c>
      <c r="G28" s="12">
        <v>0.44444744580423384</v>
      </c>
      <c r="H28" s="13">
        <f t="shared" si="0"/>
        <v>2657.54</v>
      </c>
      <c r="I28" s="13">
        <f t="shared" si="1"/>
        <v>110.5363306671552</v>
      </c>
      <c r="J28" s="13">
        <f t="shared" si="2"/>
        <v>109.78893575533237</v>
      </c>
      <c r="L28" s="126">
        <f t="shared" si="7"/>
        <v>54.429999999999836</v>
      </c>
      <c r="M28" s="129">
        <f t="shared" si="8"/>
        <v>-2.2999999999999998</v>
      </c>
      <c r="N28" s="129">
        <f t="shared" si="9"/>
        <v>-0.80000000000000027</v>
      </c>
      <c r="O28" s="129">
        <f t="shared" si="10"/>
        <v>52.929999999999836</v>
      </c>
      <c r="P28" s="126">
        <f t="shared" si="11"/>
        <v>2962.6248999999821</v>
      </c>
      <c r="Q28" s="126">
        <f t="shared" si="12"/>
        <v>54.429999999999836</v>
      </c>
      <c r="R28" s="130">
        <f t="shared" si="13"/>
        <v>5.9966039180408548E-3</v>
      </c>
      <c r="X28" s="135"/>
      <c r="Y28" s="101">
        <v>-0.05</v>
      </c>
      <c r="Z28" s="31" cm="1">
        <f t="array" ref="Z28">($V$8*(1+$Y28)-$V$8)+(BS_Price("P",$V$8*(1+$Y28),$V$9,$V$10+Z$26,$V$11-1/365,$V$12)-$Z$8)-(BS_Price("P",$W$8*(1+$Y28),$W$9,$W$10+Z$26,$W$11-1/365,$W$12)-$AA$8)</f>
        <v>-120.2749271161788</v>
      </c>
      <c r="AA28" s="114" cm="1">
        <f t="array" ref="AA28">($V$8*(1+$Y28)-$V$8)+(BS_Price("P",$V$8*(1+$Y28),$V$9,$V$10+AA$26,$V$11-1/365,$V$12)-$Z$8)-(BS_Price("P",$W$8*(1+$Y28),$W$9,$W$10+AA$26,$W$11-1/365,$W$12)-$AA$8)</f>
        <v>-113.03172005849073</v>
      </c>
      <c r="AB28" s="114" cm="1">
        <f t="array" ref="AB28">($V$8*(1+$Y28)-$V$8)+(BS_Price("P",$V$8*(1+$Y28),$V$9,$V$10+AB$26,$V$11-1/365,$V$12)-$Z$8)-(BS_Price("P",$W$8*(1+$Y28),$W$9,$W$10+AB$26,$W$11-1/365,$W$12)-$AA$8)</f>
        <v>-107.83054998689313</v>
      </c>
      <c r="AC28" s="114" cm="1">
        <f t="array" ref="AC28">($V$8*(1+$Y28)-$V$8)+(BS_Price("P",$V$8*(1+$Y28),$V$9,$V$10+AC$26,$V$11-1/365,$V$12)-$Z$8)-(BS_Price("P",$W$8*(1+$Y28),$W$9,$W$10+AC$26,$W$11-1/365,$W$12)-$AA$8)</f>
        <v>-106.61173486081388</v>
      </c>
      <c r="AD28" s="114" cm="1">
        <f t="array" ref="AD28">($V$8*(1+$Y28)-$V$8)+(BS_Price("P",$V$8*(1+$Y28),$V$9,$V$10+AD$26,$V$11-1/365,$V$12)-$Z$8)-(BS_Price("P",$W$8*(1+$Y28),$W$9,$W$10+AD$26,$W$11-1/365,$W$12)-$AA$8)</f>
        <v>-105.42420510546553</v>
      </c>
      <c r="AE28" s="114" cm="1">
        <f t="array" ref="AE28">($V$8*(1+$Y28)-$V$8)+(BS_Price("P",$V$8*(1+$Y28),$V$9,$V$10+AE$26,$V$11-1/365,$V$12)-$Z$8)-(BS_Price("P",$W$8*(1+$Y28),$W$9,$W$10+AE$26,$W$11-1/365,$W$12)-$AA$8)</f>
        <v>-100.96995424067126</v>
      </c>
      <c r="AF28" s="32" cm="1">
        <f t="array" ref="AF28">($V$8*(1+$Y28)-$V$8)+(BS_Price("P",$V$8*(1+$Y28),$V$9,$V$10+AF$26,$V$11-1/365,$V$12)-$Z$8)-(BS_Price("P",$W$8*(1+$Y28),$W$9,$W$10+AF$26,$W$11-1/365,$W$12)-$AA$8)</f>
        <v>-95.999657210079178</v>
      </c>
      <c r="AI28" s="3">
        <f t="shared" si="14"/>
        <v>2050</v>
      </c>
      <c r="AJ28" s="3">
        <f t="shared" si="3"/>
        <v>-351.69000000000005</v>
      </c>
      <c r="AK28" s="16">
        <f t="shared" si="4"/>
        <v>9</v>
      </c>
      <c r="AL28" s="16">
        <f t="shared" si="5"/>
        <v>-18.899999999999999</v>
      </c>
      <c r="AM28" s="16">
        <f t="shared" si="6"/>
        <v>-323.79000000000008</v>
      </c>
    </row>
    <row r="29" spans="1:39">
      <c r="A29" s="4">
        <v>40025</v>
      </c>
      <c r="B29" s="3">
        <v>2638.13</v>
      </c>
      <c r="C29" s="11">
        <v>8.9300000000000004E-3</v>
      </c>
      <c r="D29" s="6">
        <v>7.4</v>
      </c>
      <c r="E29" s="6">
        <v>3.2</v>
      </c>
      <c r="F29" s="12">
        <v>0.38670793652228325</v>
      </c>
      <c r="G29" s="12">
        <v>0.45131515519369608</v>
      </c>
      <c r="H29" s="13">
        <f t="shared" si="0"/>
        <v>2641.33</v>
      </c>
      <c r="I29" s="13">
        <f t="shared" si="1"/>
        <v>109.84473433290725</v>
      </c>
      <c r="J29" s="13">
        <f t="shared" si="2"/>
        <v>109.11926431159344</v>
      </c>
      <c r="L29" s="126">
        <f t="shared" si="7"/>
        <v>-16.609999999999673</v>
      </c>
      <c r="M29" s="129">
        <f t="shared" si="8"/>
        <v>1.1000000000000005</v>
      </c>
      <c r="N29" s="129">
        <f t="shared" si="9"/>
        <v>0.40000000000000036</v>
      </c>
      <c r="O29" s="129">
        <f t="shared" si="10"/>
        <v>-15.909999999999672</v>
      </c>
      <c r="P29" s="126">
        <f t="shared" si="11"/>
        <v>275.89209999998911</v>
      </c>
      <c r="Q29" s="126">
        <f t="shared" si="12"/>
        <v>-16.609999999999673</v>
      </c>
      <c r="R29" s="130">
        <f t="shared" si="13"/>
        <v>8.2410306752029316E-3</v>
      </c>
      <c r="X29" s="135"/>
      <c r="Y29" s="101">
        <v>-0.01</v>
      </c>
      <c r="Z29" s="31" cm="1">
        <f t="array" ref="Z29">($V$8*(1+$Y29)-$V$8)+(BS_Price("P",$V$8*(1+$Y29),$V$9,$V$10+Z$26,$V$11-1/365,$V$12)-$Z$8)-(BS_Price("P",$W$8*(1+$Y29),$W$9,$W$10+Z$26,$W$11-1/365,$W$12)-$AA$8)</f>
        <v>-34.413117332024072</v>
      </c>
      <c r="AA29" s="114" cm="1">
        <f t="array" ref="AA29">($V$8*(1+$Y29)-$V$8)+(BS_Price("P",$V$8*(1+$Y29),$V$9,$V$10+AA$26,$V$11-1/365,$V$12)-$Z$8)-(BS_Price("P",$W$8*(1+$Y29),$W$9,$W$10+AA$26,$W$11-1/365,$W$12)-$AA$8)</f>
        <v>-28.067754878017482</v>
      </c>
      <c r="AB29" s="114" cm="1">
        <f t="array" ref="AB29">($V$8*(1+$Y29)-$V$8)+(BS_Price("P",$V$8*(1+$Y29),$V$9,$V$10+AB$26,$V$11-1/365,$V$12)-$Z$8)-(BS_Price("P",$W$8*(1+$Y29),$W$9,$W$10+AB$26,$W$11-1/365,$W$12)-$AA$8)</f>
        <v>-23.089899759245117</v>
      </c>
      <c r="AC29" s="114" cm="1">
        <f t="array" ref="AC29">($V$8*(1+$Y29)-$V$8)+(BS_Price("P",$V$8*(1+$Y29),$V$9,$V$10+AC$26,$V$11-1/365,$V$12)-$Z$8)-(BS_Price("P",$W$8*(1+$Y29),$W$9,$W$10+AC$26,$W$11-1/365,$W$12)-$AA$8)</f>
        <v>-21.881129372794398</v>
      </c>
      <c r="AD29" s="114" cm="1">
        <f t="array" ref="AD29">($V$8*(1+$Y29)-$V$8)+(BS_Price("P",$V$8*(1+$Y29),$V$9,$V$10+AD$26,$V$11-1/365,$V$12)-$Z$8)-(BS_Price("P",$W$8*(1+$Y29),$W$9,$W$10+AD$26,$W$11-1/365,$W$12)-$AA$8)</f>
        <v>-20.689477723021518</v>
      </c>
      <c r="AE29" s="114" cm="1">
        <f t="array" ref="AE29">($V$8*(1+$Y29)-$V$8)+(BS_Price("P",$V$8*(1+$Y29),$V$9,$V$10+AE$26,$V$11-1/365,$V$12)-$Z$8)-(BS_Price("P",$W$8*(1+$Y29),$W$9,$W$10+AE$26,$W$11-1/365,$W$12)-$AA$8)</f>
        <v>-16.108575575996579</v>
      </c>
      <c r="AF29" s="32" cm="1">
        <f t="array" ref="AF29">($V$8*(1+$Y29)-$V$8)+(BS_Price("P",$V$8*(1+$Y29),$V$9,$V$10+AF$26,$V$11-1/365,$V$12)-$Z$8)-(BS_Price("P",$W$8*(1+$Y29),$W$9,$W$10+AF$26,$W$11-1/365,$W$12)-$AA$8)</f>
        <v>-10.819512821628713</v>
      </c>
      <c r="AI29" s="3">
        <f t="shared" si="14"/>
        <v>2075</v>
      </c>
      <c r="AJ29" s="3">
        <f t="shared" si="3"/>
        <v>-326.69000000000005</v>
      </c>
      <c r="AK29" s="16">
        <f t="shared" si="4"/>
        <v>-16</v>
      </c>
      <c r="AL29" s="16">
        <f t="shared" si="5"/>
        <v>-18.899999999999999</v>
      </c>
      <c r="AM29" s="16">
        <f t="shared" si="6"/>
        <v>-323.79000000000008</v>
      </c>
    </row>
    <row r="30" spans="1:39">
      <c r="A30" s="4">
        <v>40028</v>
      </c>
      <c r="B30" s="3">
        <v>2674.07</v>
      </c>
      <c r="C30" s="11">
        <v>8.8599999999999998E-3</v>
      </c>
      <c r="D30" s="6">
        <v>6.1</v>
      </c>
      <c r="E30" s="6">
        <v>2.7</v>
      </c>
      <c r="F30" s="12">
        <v>0.40134615176668509</v>
      </c>
      <c r="G30" s="12">
        <v>0.46885383185359286</v>
      </c>
      <c r="H30" s="13">
        <f t="shared" si="0"/>
        <v>2676.77</v>
      </c>
      <c r="I30" s="13">
        <f t="shared" si="1"/>
        <v>111.34118058533782</v>
      </c>
      <c r="J30" s="13">
        <f t="shared" si="2"/>
        <v>110.58337017008249</v>
      </c>
      <c r="L30" s="126">
        <f t="shared" si="7"/>
        <v>35.940000000000055</v>
      </c>
      <c r="M30" s="129">
        <f t="shared" si="8"/>
        <v>-1.3000000000000007</v>
      </c>
      <c r="N30" s="129">
        <f t="shared" si="9"/>
        <v>-0.5</v>
      </c>
      <c r="O30" s="129">
        <f t="shared" si="10"/>
        <v>35.140000000000057</v>
      </c>
      <c r="P30" s="126">
        <f t="shared" si="11"/>
        <v>1291.6836000000039</v>
      </c>
      <c r="Q30" s="126">
        <f t="shared" si="12"/>
        <v>35.940000000000055</v>
      </c>
      <c r="R30" s="130">
        <f t="shared" si="13"/>
        <v>1.4638215244401842E-2</v>
      </c>
      <c r="X30" s="135"/>
      <c r="Y30" s="101">
        <v>0</v>
      </c>
      <c r="Z30" s="31" cm="1">
        <f t="array" ref="Z30">($V$8*(1+$Y30)-$V$8)+(BS_Price("P",$V$8*(1+$Y30),$V$9,$V$10+Z$26,$V$11-1/365,$V$12)-$Z$8)-(BS_Price("P",$W$8*(1+$Y30),$W$9,$W$10+Z$26,$W$11-1/365,$W$12)-$AA$8)</f>
        <v>-12.211464742224216</v>
      </c>
      <c r="AA30" s="114" cm="1">
        <f t="array" ref="AA30">($V$8*(1+$Y30)-$V$8)+(BS_Price("P",$V$8*(1+$Y30),$V$9,$V$10+AA$26,$V$11-1/365,$V$12)-$Z$8)-(BS_Price("P",$W$8*(1+$Y30),$W$9,$W$10+AA$26,$W$11-1/365,$W$12)-$AA$8)</f>
        <v>-6.2122676598567264</v>
      </c>
      <c r="AB30" s="114" cm="1">
        <f t="array" ref="AB30">($V$8*(1+$Y30)-$V$8)+(BS_Price("P",$V$8*(1+$Y30),$V$9,$V$10+AB$26,$V$11-1/365,$V$12)-$Z$8)-(BS_Price("P",$W$8*(1+$Y30),$W$9,$W$10+AB$26,$W$11-1/365,$W$12)-$AA$8)</f>
        <v>-1.383281416998841</v>
      </c>
      <c r="AC30" s="114" cm="1">
        <f t="array" ref="AC30">($V$8*(1+$Y30)-$V$8)+(BS_Price("P",$V$8*(1+$Y30),$V$9,$V$10+AC$26,$V$11-1/365,$V$12)-$Z$8)-(BS_Price("P",$W$8*(1+$Y30),$W$9,$W$10+AC$26,$W$11-1/365,$W$12)-$AA$8)</f>
        <v>-0.19837943241754985</v>
      </c>
      <c r="AD30" s="114" cm="1">
        <f t="array" ref="AD30">($V$8*(1+$Y30)-$V$8)+(BS_Price("P",$V$8*(1+$Y30),$V$9,$V$10+AD$26,$V$11-1/365,$V$12)-$Z$8)-(BS_Price("P",$W$8*(1+$Y30),$W$9,$W$10+AD$26,$W$11-1/365,$W$12)-$AA$8)</f>
        <v>0.9738017253394986</v>
      </c>
      <c r="AE30" s="114" cm="1">
        <f t="array" ref="AE30">($V$8*(1+$Y30)-$V$8)+(BS_Price("P",$V$8*(1+$Y30),$V$9,$V$10+AE$26,$V$11-1/365,$V$12)-$Z$8)-(BS_Price("P",$W$8*(1+$Y30),$W$9,$W$10+AE$26,$W$11-1/365,$W$12)-$AA$8)</f>
        <v>5.5129713184311342</v>
      </c>
      <c r="AF30" s="32" cm="1">
        <f t="array" ref="AF30">($V$8*(1+$Y30)-$V$8)+(BS_Price("P",$V$8*(1+$Y30),$V$9,$V$10+AF$26,$V$11-1/365,$V$12)-$Z$8)-(BS_Price("P",$W$8*(1+$Y30),$W$9,$W$10+AF$26,$W$11-1/365,$W$12)-$AA$8)</f>
        <v>10.807888860778142</v>
      </c>
      <c r="AI30" s="3">
        <f t="shared" si="14"/>
        <v>2100</v>
      </c>
      <c r="AJ30" s="3">
        <f t="shared" si="3"/>
        <v>-301.69000000000005</v>
      </c>
      <c r="AK30" s="16">
        <f t="shared" si="4"/>
        <v>-41</v>
      </c>
      <c r="AL30" s="16">
        <f t="shared" si="5"/>
        <v>-18.899999999999999</v>
      </c>
      <c r="AM30" s="16">
        <f t="shared" si="6"/>
        <v>-323.79000000000008</v>
      </c>
    </row>
    <row r="31" spans="1:39">
      <c r="A31" s="4">
        <v>40029</v>
      </c>
      <c r="B31" s="3">
        <v>2670.96</v>
      </c>
      <c r="C31" s="11">
        <v>8.8400000000000006E-3</v>
      </c>
      <c r="D31" s="6">
        <v>5.7</v>
      </c>
      <c r="E31" s="6">
        <v>2.2999999999999998</v>
      </c>
      <c r="F31" s="12">
        <v>0.39897231749810802</v>
      </c>
      <c r="G31" s="12">
        <v>0.46153354316423623</v>
      </c>
      <c r="H31" s="13">
        <f t="shared" si="0"/>
        <v>2673.26</v>
      </c>
      <c r="I31" s="13">
        <f t="shared" si="1"/>
        <v>111.2116884360596</v>
      </c>
      <c r="J31" s="13">
        <f t="shared" si="2"/>
        <v>110.43836420046354</v>
      </c>
      <c r="L31" s="126">
        <f t="shared" si="7"/>
        <v>-3.1100000000001273</v>
      </c>
      <c r="M31" s="129">
        <f t="shared" si="8"/>
        <v>-0.39999999999999947</v>
      </c>
      <c r="N31" s="129">
        <f t="shared" si="9"/>
        <v>-0.40000000000000036</v>
      </c>
      <c r="O31" s="129">
        <f t="shared" si="10"/>
        <v>-3.1100000000001264</v>
      </c>
      <c r="P31" s="126">
        <f t="shared" si="11"/>
        <v>9.6721000000007926</v>
      </c>
      <c r="Q31" s="126">
        <f t="shared" si="12"/>
        <v>-3.1100000000001273</v>
      </c>
      <c r="R31" s="130">
        <f t="shared" si="13"/>
        <v>-2.3738342685770686E-3</v>
      </c>
      <c r="X31" s="135"/>
      <c r="Y31" s="101">
        <v>0.01</v>
      </c>
      <c r="Z31" s="31" cm="1">
        <f t="array" ref="Z31">($V$8*(1+$Y31)-$V$8)+(BS_Price("P",$V$8*(1+$Y31),$V$9,$V$10+Z$26,$V$11-1/365,$V$12)-$Z$8)-(BS_Price("P",$W$8*(1+$Y31),$W$9,$W$10+Z$26,$W$11-1/365,$W$12)-$AA$8)</f>
        <v>10.233521069557135</v>
      </c>
      <c r="AA31" s="114" cm="1">
        <f t="array" ref="AA31">($V$8*(1+$Y31)-$V$8)+(BS_Price("P",$V$8*(1+$Y31),$V$9,$V$10+AA$26,$V$11-1/365,$V$12)-$Z$8)-(BS_Price("P",$W$8*(1+$Y31),$W$9,$W$10+AA$26,$W$11-1/365,$W$12)-$AA$8)</f>
        <v>15.860499494362204</v>
      </c>
      <c r="AB31" s="114" cm="1">
        <f t="array" ref="AB31">($V$8*(1+$Y31)-$V$8)+(BS_Price("P",$V$8*(1+$Y31),$V$9,$V$10+AB$26,$V$11-1/365,$V$12)-$Z$8)-(BS_Price("P",$W$8*(1+$Y31),$W$9,$W$10+AB$26,$W$11-1/365,$W$12)-$AA$8)</f>
        <v>20.514072531808345</v>
      </c>
      <c r="AC31" s="114" cm="1">
        <f t="array" ref="AC31">($V$8*(1+$Y31)-$V$8)+(BS_Price("P",$V$8*(1+$Y31),$V$9,$V$10+AC$26,$V$11-1/365,$V$12)-$Z$8)-(BS_Price("P",$W$8*(1+$Y31),$W$9,$W$10+AC$26,$W$11-1/365,$W$12)-$AA$8)</f>
        <v>21.668520091388462</v>
      </c>
      <c r="AD31" s="114" cm="1">
        <f t="array" ref="AD31">($V$8*(1+$Y31)-$V$8)+(BS_Price("P",$V$8*(1+$Y31),$V$9,$V$10+AD$26,$V$11-1/365,$V$12)-$Z$8)-(BS_Price("P",$W$8*(1+$Y31),$W$9,$W$10+AD$26,$W$11-1/365,$W$12)-$AA$8)</f>
        <v>22.814764943455543</v>
      </c>
      <c r="AE31" s="114" cm="1">
        <f t="array" ref="AE31">($V$8*(1+$Y31)-$V$8)+(BS_Price("P",$V$8*(1+$Y31),$V$9,$V$10+AE$26,$V$11-1/365,$V$12)-$Z$8)-(BS_Price("P",$W$8*(1+$Y31),$W$9,$W$10+AE$26,$W$11-1/365,$W$12)-$AA$8)</f>
        <v>27.288031252685652</v>
      </c>
      <c r="AF31" s="32" cm="1">
        <f t="array" ref="AF31">($V$8*(1+$Y31)-$V$8)+(BS_Price("P",$V$8*(1+$Y31),$V$9,$V$10+AF$26,$V$11-1/365,$V$12)-$Z$8)-(BS_Price("P",$W$8*(1+$Y31),$W$9,$W$10+AF$26,$W$11-1/365,$W$12)-$AA$8)</f>
        <v>32.563100461328368</v>
      </c>
      <c r="AI31" s="3">
        <f t="shared" si="14"/>
        <v>2125</v>
      </c>
      <c r="AJ31" s="3">
        <f t="shared" si="3"/>
        <v>-276.69000000000005</v>
      </c>
      <c r="AK31" s="16">
        <f t="shared" si="4"/>
        <v>-41</v>
      </c>
      <c r="AL31" s="16">
        <f t="shared" si="5"/>
        <v>-18.899999999999999</v>
      </c>
      <c r="AM31" s="16">
        <f t="shared" si="6"/>
        <v>-298.79000000000008</v>
      </c>
    </row>
    <row r="32" spans="1:39">
      <c r="A32" s="4">
        <v>40030</v>
      </c>
      <c r="B32" s="3">
        <v>2643.13</v>
      </c>
      <c r="C32" s="11">
        <v>8.8400000000000006E-3</v>
      </c>
      <c r="D32" s="6">
        <v>5.5</v>
      </c>
      <c r="E32" s="6">
        <v>2.2000000000000002</v>
      </c>
      <c r="F32" s="12">
        <v>0.3869663635121805</v>
      </c>
      <c r="G32" s="12">
        <v>0.45186675090613798</v>
      </c>
      <c r="H32" s="13">
        <f t="shared" si="0"/>
        <v>2645.33</v>
      </c>
      <c r="I32" s="13">
        <f t="shared" si="1"/>
        <v>110.05292106808122</v>
      </c>
      <c r="J32" s="13">
        <f t="shared" si="2"/>
        <v>109.2845132798202</v>
      </c>
      <c r="L32" s="126">
        <f t="shared" si="7"/>
        <v>-27.829999999999927</v>
      </c>
      <c r="M32" s="129">
        <f t="shared" si="8"/>
        <v>-0.20000000000000018</v>
      </c>
      <c r="N32" s="129">
        <f t="shared" si="9"/>
        <v>-9.9999999999999645E-2</v>
      </c>
      <c r="O32" s="129">
        <f t="shared" si="10"/>
        <v>-27.929999999999929</v>
      </c>
      <c r="P32" s="126">
        <f t="shared" si="11"/>
        <v>774.50889999999595</v>
      </c>
      <c r="Q32" s="126">
        <f t="shared" si="12"/>
        <v>-27.829999999999927</v>
      </c>
      <c r="R32" s="130">
        <f t="shared" si="13"/>
        <v>-1.200595398592752E-2</v>
      </c>
      <c r="X32" s="135"/>
      <c r="Y32" s="101">
        <v>0.05</v>
      </c>
      <c r="Z32" s="31" cm="1">
        <f t="array" ref="Z32">($V$8*(1+$Y32)-$V$8)+(BS_Price("P",$V$8*(1+$Y32),$V$9,$V$10+Z$26,$V$11-1/365,$V$12)-$Z$8)-(BS_Price("P",$W$8*(1+$Y32),$W$9,$W$10+Z$26,$W$11-1/365,$W$12)-$AA$8)</f>
        <v>101.96410815364504</v>
      </c>
      <c r="AA32" s="114" cm="1">
        <f t="array" ref="AA32">($V$8*(1+$Y32)-$V$8)+(BS_Price("P",$V$8*(1+$Y32),$V$9,$V$10+AA$26,$V$11-1/365,$V$12)-$Z$8)-(BS_Price("P",$W$8*(1+$Y32),$W$9,$W$10+AA$26,$W$11-1/365,$W$12)-$AA$8)</f>
        <v>106.02209907773411</v>
      </c>
      <c r="AB32" s="114" cm="1">
        <f t="array" ref="AB32">($V$8*(1+$Y32)-$V$8)+(BS_Price("P",$V$8*(1+$Y32),$V$9,$V$10+AB$26,$V$11-1/365,$V$12)-$Z$8)-(BS_Price("P",$W$8*(1+$Y32),$W$9,$W$10+AB$26,$W$11-1/365,$W$12)-$AA$8)</f>
        <v>109.8071676472469</v>
      </c>
      <c r="AC32" s="114" cm="1">
        <f t="array" ref="AC32">($V$8*(1+$Y32)-$V$8)+(BS_Price("P",$V$8*(1+$Y32),$V$9,$V$10+AC$26,$V$11-1/365,$V$12)-$Z$8)-(BS_Price("P",$W$8*(1+$Y32),$W$9,$W$10+AC$26,$W$11-1/365,$W$12)-$AA$8)</f>
        <v>110.7931360542234</v>
      </c>
      <c r="AD32" s="114" cm="1">
        <f t="array" ref="AD32">($V$8*(1+$Y32)-$V$8)+(BS_Price("P",$V$8*(1+$Y32),$V$9,$V$10+AD$26,$V$11-1/365,$V$12)-$Z$8)-(BS_Price("P",$W$8*(1+$Y32),$W$9,$W$10+AD$26,$W$11-1/365,$W$12)-$AA$8)</f>
        <v>111.78833109667964</v>
      </c>
      <c r="AE32" s="114" cm="1">
        <f t="array" ref="AE32">($V$8*(1+$Y32)-$V$8)+(BS_Price("P",$V$8*(1+$Y32),$V$9,$V$10+AE$26,$V$11-1/365,$V$12)-$Z$8)-(BS_Price("P",$W$8*(1+$Y32),$W$9,$W$10+AE$26,$W$11-1/365,$W$12)-$AA$8)</f>
        <v>115.81035931298173</v>
      </c>
      <c r="AF32" s="32" cm="1">
        <f t="array" ref="AF32">($V$8*(1+$Y32)-$V$8)+(BS_Price("P",$V$8*(1+$Y32),$V$9,$V$10+AF$26,$V$11-1/365,$V$12)-$Z$8)-(BS_Price("P",$W$8*(1+$Y32),$W$9,$W$10+AF$26,$W$11-1/365,$W$12)-$AA$8)</f>
        <v>120.79172107273318</v>
      </c>
      <c r="AI32" s="3">
        <f t="shared" si="14"/>
        <v>2150</v>
      </c>
      <c r="AJ32" s="3">
        <f t="shared" si="3"/>
        <v>-251.69000000000005</v>
      </c>
      <c r="AK32" s="16">
        <f t="shared" si="4"/>
        <v>-41</v>
      </c>
      <c r="AL32" s="16">
        <f t="shared" si="5"/>
        <v>-18.899999999999999</v>
      </c>
      <c r="AM32" s="16">
        <f t="shared" si="6"/>
        <v>-273.79000000000008</v>
      </c>
    </row>
    <row r="33" spans="1:39">
      <c r="A33" s="4">
        <v>40031</v>
      </c>
      <c r="B33" s="3">
        <v>2662.01</v>
      </c>
      <c r="C33" s="11">
        <v>8.8299999999999993E-3</v>
      </c>
      <c r="D33" s="6">
        <v>4.4000000000000004</v>
      </c>
      <c r="E33" s="6">
        <v>1.8</v>
      </c>
      <c r="F33" s="12">
        <v>0.38463724604798066</v>
      </c>
      <c r="G33" s="12">
        <v>0.45209311165376481</v>
      </c>
      <c r="H33" s="13">
        <f t="shared" si="0"/>
        <v>2663.8100000000004</v>
      </c>
      <c r="I33" s="13">
        <f t="shared" si="1"/>
        <v>110.8390341800982</v>
      </c>
      <c r="J33" s="13">
        <f t="shared" si="2"/>
        <v>110.04796351302784</v>
      </c>
      <c r="L33" s="126">
        <f t="shared" si="7"/>
        <v>18.880000000000109</v>
      </c>
      <c r="M33" s="129">
        <f t="shared" si="8"/>
        <v>-1.0999999999999996</v>
      </c>
      <c r="N33" s="129">
        <f t="shared" si="9"/>
        <v>-0.40000000000000013</v>
      </c>
      <c r="O33" s="129">
        <f t="shared" si="10"/>
        <v>18.180000000000106</v>
      </c>
      <c r="P33" s="126">
        <f t="shared" si="11"/>
        <v>356.45440000000411</v>
      </c>
      <c r="Q33" s="126">
        <f t="shared" si="12"/>
        <v>18.880000000000109</v>
      </c>
      <c r="R33" s="130">
        <f t="shared" si="13"/>
        <v>-2.3291174641998369E-3</v>
      </c>
      <c r="X33" s="136"/>
      <c r="Y33" s="102">
        <v>0.1</v>
      </c>
      <c r="Z33" s="33" cm="1">
        <f t="array" ref="Z33">($V$8*(1+$Y33)-$V$8)+(BS_Price("P",$V$8*(1+$Y33),$V$9,$V$10+Z$26,$V$11-1/365,$V$12)-$Z$8)-(BS_Price("P",$W$8*(1+$Y33),$W$9,$W$10+Z$26,$W$11-1/365,$W$12)-$AA$8)</f>
        <v>219.50765508086647</v>
      </c>
      <c r="AA33" s="34" cm="1">
        <f t="array" ref="AA33">($V$8*(1+$Y33)-$V$8)+(BS_Price("P",$V$8*(1+$Y33),$V$9,$V$10+AA$26,$V$11-1/365,$V$12)-$Z$8)-(BS_Price("P",$W$8*(1+$Y33),$W$9,$W$10+AA$26,$W$11-1/365,$W$12)-$AA$8)</f>
        <v>221.86596995468832</v>
      </c>
      <c r="AB33" s="34" cm="1">
        <f t="array" ref="AB33">($V$8*(1+$Y33)-$V$8)+(BS_Price("P",$V$8*(1+$Y33),$V$9,$V$10+AB$26,$V$11-1/365,$V$12)-$Z$8)-(BS_Price("P",$W$8*(1+$Y33),$W$9,$W$10+AB$26,$W$11-1/365,$W$12)-$AA$8)</f>
        <v>224.48467686541775</v>
      </c>
      <c r="AC33" s="34" cm="1">
        <f t="array" ref="AC33">($V$8*(1+$Y33)-$V$8)+(BS_Price("P",$V$8*(1+$Y33),$V$9,$V$10+AC$26,$V$11-1/365,$V$12)-$Z$8)-(BS_Price("P",$W$8*(1+$Y33),$W$9,$W$10+AC$26,$W$11-1/365,$W$12)-$AA$8)</f>
        <v>225.21682932671803</v>
      </c>
      <c r="AD33" s="34" cm="1">
        <f t="array" ref="AD33">($V$8*(1+$Y33)-$V$8)+(BS_Price("P",$V$8*(1+$Y33),$V$9,$V$10+AD$26,$V$11-1/365,$V$12)-$Z$8)-(BS_Price("P",$W$8*(1+$Y33),$W$9,$W$10+AD$26,$W$11-1/365,$W$12)-$AA$8)</f>
        <v>225.97391972133383</v>
      </c>
      <c r="AE33" s="34" cm="1">
        <f t="array" ref="AE33">($V$8*(1+$Y33)-$V$8)+(BS_Price("P",$V$8*(1+$Y33),$V$9,$V$10+AE$26,$V$11-1/365,$V$12)-$Z$8)-(BS_Price("P",$W$8*(1+$Y33),$W$9,$W$10+AE$26,$W$11-1/365,$W$12)-$AA$8)</f>
        <v>229.19647319845325</v>
      </c>
      <c r="AF33" s="35" cm="1">
        <f t="array" ref="AF33">($V$8*(1+$Y33)-$V$8)+(BS_Price("P",$V$8*(1+$Y33),$V$9,$V$10+AF$26,$V$11-1/365,$V$12)-$Z$8)-(BS_Price("P",$W$8*(1+$Y33),$W$9,$W$10+AF$26,$W$11-1/365,$W$12)-$AA$8)</f>
        <v>233.48689202704759</v>
      </c>
      <c r="AI33" s="3">
        <f t="shared" si="14"/>
        <v>2175</v>
      </c>
      <c r="AJ33" s="3">
        <f t="shared" si="3"/>
        <v>-226.69000000000005</v>
      </c>
      <c r="AK33" s="16">
        <f t="shared" si="4"/>
        <v>-41</v>
      </c>
      <c r="AL33" s="16">
        <f t="shared" si="5"/>
        <v>-18.899999999999999</v>
      </c>
      <c r="AM33" s="16">
        <f t="shared" si="6"/>
        <v>-248.79000000000005</v>
      </c>
    </row>
    <row r="34" spans="1:39">
      <c r="A34" s="4">
        <v>40032</v>
      </c>
      <c r="B34" s="3">
        <v>2706.22</v>
      </c>
      <c r="C34" s="11">
        <v>8.8100000000000001E-3</v>
      </c>
      <c r="D34" s="6">
        <v>3.4</v>
      </c>
      <c r="E34" s="6">
        <v>1.6</v>
      </c>
      <c r="F34" s="12">
        <v>0.39270838113577278</v>
      </c>
      <c r="G34" s="12">
        <v>0.46840539594766928</v>
      </c>
      <c r="H34" s="13">
        <f t="shared" si="0"/>
        <v>2707.8199999999997</v>
      </c>
      <c r="I34" s="13">
        <f t="shared" si="1"/>
        <v>112.67982129250652</v>
      </c>
      <c r="J34" s="13">
        <f t="shared" si="2"/>
        <v>111.86611528594266</v>
      </c>
      <c r="L34" s="126">
        <f t="shared" si="7"/>
        <v>44.209999999999582</v>
      </c>
      <c r="M34" s="129">
        <f t="shared" si="8"/>
        <v>-1.0000000000000004</v>
      </c>
      <c r="N34" s="129">
        <f t="shared" si="9"/>
        <v>-0.19999999999999996</v>
      </c>
      <c r="O34" s="129">
        <f t="shared" si="10"/>
        <v>43.409999999999584</v>
      </c>
      <c r="P34" s="126">
        <f t="shared" si="11"/>
        <v>1954.524099999963</v>
      </c>
      <c r="Q34" s="126">
        <f t="shared" si="12"/>
        <v>44.209999999999582</v>
      </c>
      <c r="R34" s="130">
        <f t="shared" si="13"/>
        <v>8.071135087792114E-3</v>
      </c>
      <c r="AI34" s="3">
        <f t="shared" si="14"/>
        <v>2200</v>
      </c>
      <c r="AJ34" s="3">
        <f t="shared" si="3"/>
        <v>-201.69000000000005</v>
      </c>
      <c r="AK34" s="16">
        <f t="shared" si="4"/>
        <v>-41</v>
      </c>
      <c r="AL34" s="16">
        <f t="shared" si="5"/>
        <v>-18.899999999999999</v>
      </c>
      <c r="AM34" s="16">
        <f t="shared" si="6"/>
        <v>-223.79000000000005</v>
      </c>
    </row>
    <row r="35" spans="1:39">
      <c r="A35" s="4">
        <v>40035</v>
      </c>
      <c r="B35" s="3">
        <v>2693.61</v>
      </c>
      <c r="C35" s="11">
        <v>8.8400000000000006E-3</v>
      </c>
      <c r="D35" s="6">
        <v>3.4</v>
      </c>
      <c r="E35" s="6">
        <v>1.3</v>
      </c>
      <c r="F35" s="12">
        <v>0.40135881797002043</v>
      </c>
      <c r="G35" s="12">
        <v>0.46754339846948445</v>
      </c>
      <c r="H35" s="13">
        <f t="shared" si="0"/>
        <v>2694.9100000000003</v>
      </c>
      <c r="I35" s="13">
        <f t="shared" si="1"/>
        <v>112.15477434639776</v>
      </c>
      <c r="J35" s="13">
        <f t="shared" si="2"/>
        <v>111.33277424099084</v>
      </c>
      <c r="L35" s="126">
        <f t="shared" si="7"/>
        <v>-12.609999999999673</v>
      </c>
      <c r="M35" s="129">
        <f t="shared" si="8"/>
        <v>0</v>
      </c>
      <c r="N35" s="129">
        <f t="shared" si="9"/>
        <v>-0.30000000000000004</v>
      </c>
      <c r="O35" s="129">
        <f t="shared" si="10"/>
        <v>-12.309999999999672</v>
      </c>
      <c r="P35" s="126">
        <f t="shared" si="11"/>
        <v>159.01209999999173</v>
      </c>
      <c r="Q35" s="126">
        <f t="shared" si="12"/>
        <v>-12.609999999999673</v>
      </c>
      <c r="R35" s="130">
        <f t="shared" si="13"/>
        <v>8.6504368342476545E-3</v>
      </c>
      <c r="AI35" s="3">
        <f t="shared" si="14"/>
        <v>2225</v>
      </c>
      <c r="AJ35" s="3">
        <f t="shared" si="3"/>
        <v>-176.69000000000005</v>
      </c>
      <c r="AK35" s="16">
        <f t="shared" si="4"/>
        <v>-41</v>
      </c>
      <c r="AL35" s="16">
        <f t="shared" si="5"/>
        <v>-18.899999999999999</v>
      </c>
      <c r="AM35" s="16">
        <f t="shared" si="6"/>
        <v>-198.79000000000005</v>
      </c>
    </row>
    <row r="36" spans="1:39">
      <c r="A36" s="4">
        <v>40036</v>
      </c>
      <c r="B36" s="3">
        <v>2650.94</v>
      </c>
      <c r="C36" s="11">
        <v>8.8299999999999993E-3</v>
      </c>
      <c r="D36" s="6">
        <v>4.5</v>
      </c>
      <c r="E36" s="6">
        <v>1.8</v>
      </c>
      <c r="F36" s="12">
        <v>0.40490927403168486</v>
      </c>
      <c r="G36" s="12">
        <v>0.47579914950782415</v>
      </c>
      <c r="H36" s="13">
        <f t="shared" si="0"/>
        <v>2652.7400000000002</v>
      </c>
      <c r="I36" s="13">
        <f t="shared" si="1"/>
        <v>110.37810874842297</v>
      </c>
      <c r="J36" s="13">
        <f t="shared" si="2"/>
        <v>109.59063699346028</v>
      </c>
      <c r="L36" s="126">
        <f t="shared" si="7"/>
        <v>-42.670000000000073</v>
      </c>
      <c r="M36" s="129">
        <f t="shared" si="8"/>
        <v>1.1000000000000001</v>
      </c>
      <c r="N36" s="129">
        <f t="shared" si="9"/>
        <v>0.5</v>
      </c>
      <c r="O36" s="129">
        <f t="shared" si="10"/>
        <v>-42.070000000000071</v>
      </c>
      <c r="P36" s="126">
        <f t="shared" si="11"/>
        <v>1820.7289000000062</v>
      </c>
      <c r="Q36" s="126">
        <f t="shared" si="12"/>
        <v>-42.670000000000073</v>
      </c>
      <c r="R36" s="130">
        <f t="shared" si="13"/>
        <v>3.550456061664431E-3</v>
      </c>
      <c r="AI36" s="3">
        <f>AI35+25</f>
        <v>2250</v>
      </c>
      <c r="AJ36" s="3">
        <f t="shared" si="3"/>
        <v>-151.69000000000005</v>
      </c>
      <c r="AK36" s="16">
        <f t="shared" si="4"/>
        <v>-41</v>
      </c>
      <c r="AL36" s="16">
        <f t="shared" si="5"/>
        <v>-18.899999999999999</v>
      </c>
      <c r="AM36" s="16">
        <f t="shared" si="6"/>
        <v>-173.79000000000005</v>
      </c>
    </row>
    <row r="37" spans="1:39">
      <c r="A37" s="4">
        <v>40037</v>
      </c>
      <c r="B37" s="3">
        <v>2688.21</v>
      </c>
      <c r="C37" s="11">
        <v>8.7899999999999992E-3</v>
      </c>
      <c r="D37" s="6">
        <v>3.6</v>
      </c>
      <c r="E37" s="6">
        <v>1.5</v>
      </c>
      <c r="F37" s="12">
        <v>0.41328396836200404</v>
      </c>
      <c r="G37" s="12">
        <v>0.48672832550690059</v>
      </c>
      <c r="H37" s="13">
        <f t="shared" si="0"/>
        <v>2689.71</v>
      </c>
      <c r="I37" s="13">
        <f t="shared" si="1"/>
        <v>111.92993267240985</v>
      </c>
      <c r="J37" s="13">
        <f t="shared" si="2"/>
        <v>111.11795058229606</v>
      </c>
      <c r="L37" s="126">
        <f t="shared" si="7"/>
        <v>37.269999999999982</v>
      </c>
      <c r="M37" s="129">
        <f t="shared" si="8"/>
        <v>-0.89999999999999991</v>
      </c>
      <c r="N37" s="129">
        <f t="shared" si="9"/>
        <v>-0.30000000000000004</v>
      </c>
      <c r="O37" s="129">
        <f t="shared" si="10"/>
        <v>36.66999999999998</v>
      </c>
      <c r="P37" s="126">
        <f t="shared" si="11"/>
        <v>1389.0528999999985</v>
      </c>
      <c r="Q37" s="126">
        <f t="shared" si="12"/>
        <v>37.269999999999982</v>
      </c>
      <c r="R37" s="130">
        <f t="shared" si="13"/>
        <v>8.3746943303191768E-3</v>
      </c>
      <c r="AI37" s="3">
        <f t="shared" si="14"/>
        <v>2275</v>
      </c>
      <c r="AJ37" s="3">
        <f t="shared" si="3"/>
        <v>-126.69000000000005</v>
      </c>
      <c r="AK37" s="16">
        <f t="shared" si="4"/>
        <v>-41</v>
      </c>
      <c r="AL37" s="16">
        <f t="shared" si="5"/>
        <v>-18.899999999999999</v>
      </c>
      <c r="AM37" s="16">
        <f t="shared" si="6"/>
        <v>-148.79000000000005</v>
      </c>
    </row>
    <row r="38" spans="1:39">
      <c r="A38" s="4">
        <v>40038</v>
      </c>
      <c r="B38" s="3">
        <v>2705.74</v>
      </c>
      <c r="C38" s="11">
        <v>8.7299999999999999E-3</v>
      </c>
      <c r="D38" s="6">
        <v>3</v>
      </c>
      <c r="E38" s="6">
        <v>1.2</v>
      </c>
      <c r="F38" s="12">
        <v>0.41505687826624971</v>
      </c>
      <c r="G38" s="12">
        <v>0.48677700398231294</v>
      </c>
      <c r="H38" s="13">
        <f t="shared" si="0"/>
        <v>2706.9399999999996</v>
      </c>
      <c r="I38" s="13">
        <f t="shared" si="1"/>
        <v>112.65983536592981</v>
      </c>
      <c r="J38" s="13">
        <f t="shared" si="2"/>
        <v>111.82976051293276</v>
      </c>
      <c r="L38" s="126">
        <f t="shared" si="7"/>
        <v>17.529999999999745</v>
      </c>
      <c r="M38" s="129">
        <f t="shared" si="8"/>
        <v>-0.60000000000000009</v>
      </c>
      <c r="N38" s="129">
        <f t="shared" si="9"/>
        <v>-0.30000000000000004</v>
      </c>
      <c r="O38" s="129">
        <f t="shared" si="10"/>
        <v>17.229999999999745</v>
      </c>
      <c r="P38" s="126">
        <f t="shared" si="11"/>
        <v>307.30089999999109</v>
      </c>
      <c r="Q38" s="126">
        <f t="shared" si="12"/>
        <v>17.529999999999745</v>
      </c>
      <c r="R38" s="130">
        <f t="shared" si="13"/>
        <v>1.7729099042456675E-3</v>
      </c>
      <c r="AI38" s="3">
        <f t="shared" si="14"/>
        <v>2300</v>
      </c>
      <c r="AJ38" s="3">
        <f t="shared" si="3"/>
        <v>-101.69000000000005</v>
      </c>
      <c r="AK38" s="16">
        <f t="shared" si="4"/>
        <v>-41</v>
      </c>
      <c r="AL38" s="16">
        <f t="shared" si="5"/>
        <v>-18.899999999999999</v>
      </c>
      <c r="AM38" s="16">
        <f t="shared" si="6"/>
        <v>-123.79000000000005</v>
      </c>
    </row>
    <row r="39" spans="1:39">
      <c r="A39" s="4">
        <v>40039</v>
      </c>
      <c r="B39" s="3">
        <v>2669.41</v>
      </c>
      <c r="C39" s="11">
        <v>8.6899999999999998E-3</v>
      </c>
      <c r="D39" s="6">
        <v>3.8</v>
      </c>
      <c r="E39" s="6">
        <v>1.4</v>
      </c>
      <c r="F39" s="12">
        <v>0.41898447890265761</v>
      </c>
      <c r="G39" s="12">
        <v>0.48732684578872976</v>
      </c>
      <c r="H39" s="13">
        <f t="shared" si="0"/>
        <v>2670.81</v>
      </c>
      <c r="I39" s="13">
        <f t="shared" si="1"/>
        <v>111.14715054815566</v>
      </c>
      <c r="J39" s="13">
        <f t="shared" si="2"/>
        <v>110.33714920742463</v>
      </c>
      <c r="L39" s="126">
        <f t="shared" si="7"/>
        <v>-36.329999999999927</v>
      </c>
      <c r="M39" s="129">
        <f t="shared" si="8"/>
        <v>0.79999999999999982</v>
      </c>
      <c r="N39" s="129">
        <f t="shared" si="9"/>
        <v>0.19999999999999996</v>
      </c>
      <c r="O39" s="129">
        <f t="shared" si="10"/>
        <v>-35.729999999999933</v>
      </c>
      <c r="P39" s="126">
        <f t="shared" si="11"/>
        <v>1319.8688999999947</v>
      </c>
      <c r="Q39" s="126">
        <f t="shared" si="12"/>
        <v>-36.329999999999927</v>
      </c>
      <c r="R39" s="130">
        <f t="shared" si="13"/>
        <v>3.9276006364079019E-3</v>
      </c>
      <c r="AI39" s="3">
        <f t="shared" si="14"/>
        <v>2325</v>
      </c>
      <c r="AJ39" s="3">
        <f t="shared" si="3"/>
        <v>-76.690000000000055</v>
      </c>
      <c r="AK39" s="16">
        <f t="shared" si="4"/>
        <v>-41</v>
      </c>
      <c r="AL39" s="16">
        <f t="shared" si="5"/>
        <v>-18.899999999999999</v>
      </c>
      <c r="AM39" s="16">
        <f t="shared" si="6"/>
        <v>-98.790000000000049</v>
      </c>
    </row>
    <row r="40" spans="1:39">
      <c r="A40" s="4">
        <v>40042</v>
      </c>
      <c r="B40" s="3">
        <v>2603.79</v>
      </c>
      <c r="C40" s="11">
        <v>8.6099999999999996E-3</v>
      </c>
      <c r="D40" s="6">
        <v>6.8</v>
      </c>
      <c r="E40" s="6">
        <v>2.7</v>
      </c>
      <c r="F40" s="12">
        <v>0.4486332368871947</v>
      </c>
      <c r="G40" s="12">
        <v>0.52541870249178257</v>
      </c>
      <c r="H40" s="13">
        <f t="shared" si="0"/>
        <v>2606.4899999999998</v>
      </c>
      <c r="I40" s="13">
        <f t="shared" si="1"/>
        <v>108.41490783573234</v>
      </c>
      <c r="J40" s="13">
        <f t="shared" si="2"/>
        <v>107.67994579833842</v>
      </c>
      <c r="L40" s="126">
        <f t="shared" si="7"/>
        <v>-65.619999999999891</v>
      </c>
      <c r="M40" s="129">
        <f t="shared" si="8"/>
        <v>3</v>
      </c>
      <c r="N40" s="129">
        <f t="shared" si="9"/>
        <v>1.3000000000000003</v>
      </c>
      <c r="O40" s="129">
        <f t="shared" si="10"/>
        <v>-63.919999999999888</v>
      </c>
      <c r="P40" s="126">
        <f t="shared" si="11"/>
        <v>4305.9843999999857</v>
      </c>
      <c r="Q40" s="126">
        <f t="shared" si="12"/>
        <v>-65.619999999999891</v>
      </c>
      <c r="R40" s="130">
        <f t="shared" si="13"/>
        <v>2.9648757984537089E-2</v>
      </c>
      <c r="AI40" s="3">
        <f t="shared" si="14"/>
        <v>2350</v>
      </c>
      <c r="AJ40" s="3">
        <f t="shared" si="3"/>
        <v>-51.690000000000055</v>
      </c>
      <c r="AK40" s="16">
        <f t="shared" si="4"/>
        <v>-41</v>
      </c>
      <c r="AL40" s="16">
        <f t="shared" si="5"/>
        <v>-18.899999999999999</v>
      </c>
      <c r="AM40" s="16">
        <f t="shared" si="6"/>
        <v>-73.790000000000049</v>
      </c>
    </row>
    <row r="41" spans="1:39">
      <c r="A41" s="4">
        <v>40043</v>
      </c>
      <c r="B41" s="3">
        <v>2630.6</v>
      </c>
      <c r="C41" s="11">
        <v>8.5900000000000004E-3</v>
      </c>
      <c r="D41" s="6">
        <v>5</v>
      </c>
      <c r="E41" s="6">
        <v>2.2000000000000002</v>
      </c>
      <c r="F41" s="12">
        <v>0.44483197816224662</v>
      </c>
      <c r="G41" s="12">
        <v>0.53143675196891582</v>
      </c>
      <c r="H41" s="13">
        <f t="shared" si="0"/>
        <v>2632.7999999999997</v>
      </c>
      <c r="I41" s="13">
        <f t="shared" si="1"/>
        <v>109.53120510973523</v>
      </c>
      <c r="J41" s="13">
        <f t="shared" si="2"/>
        <v>108.76687088684989</v>
      </c>
      <c r="L41" s="126">
        <f t="shared" si="7"/>
        <v>26.809999999999945</v>
      </c>
      <c r="M41" s="129">
        <f t="shared" si="8"/>
        <v>-1.7999999999999998</v>
      </c>
      <c r="N41" s="129">
        <f t="shared" si="9"/>
        <v>-0.5</v>
      </c>
      <c r="O41" s="129">
        <f t="shared" si="10"/>
        <v>25.509999999999945</v>
      </c>
      <c r="P41" s="126">
        <f t="shared" si="11"/>
        <v>718.77609999999709</v>
      </c>
      <c r="Q41" s="126">
        <f t="shared" si="12"/>
        <v>26.809999999999945</v>
      </c>
      <c r="R41" s="130">
        <f t="shared" si="13"/>
        <v>-3.8012587249480756E-3</v>
      </c>
      <c r="AI41" s="3">
        <f t="shared" si="14"/>
        <v>2375</v>
      </c>
      <c r="AJ41" s="3">
        <f t="shared" si="3"/>
        <v>-26.690000000000055</v>
      </c>
      <c r="AK41" s="16">
        <f t="shared" si="4"/>
        <v>-41</v>
      </c>
      <c r="AL41" s="16">
        <f t="shared" si="5"/>
        <v>-18.899999999999999</v>
      </c>
      <c r="AM41" s="16">
        <f t="shared" si="6"/>
        <v>-48.790000000000056</v>
      </c>
    </row>
    <row r="42" spans="1:39">
      <c r="A42" s="4">
        <v>40044</v>
      </c>
      <c r="B42" s="3">
        <v>2622.88</v>
      </c>
      <c r="C42" s="11">
        <v>8.539999999999999E-3</v>
      </c>
      <c r="D42" s="6">
        <v>5.5</v>
      </c>
      <c r="E42" s="6">
        <v>2</v>
      </c>
      <c r="F42" s="12">
        <v>0.45571799691409015</v>
      </c>
      <c r="G42" s="12">
        <v>0.5287518004449745</v>
      </c>
      <c r="H42" s="13">
        <f t="shared" si="0"/>
        <v>2624.88</v>
      </c>
      <c r="I42" s="13">
        <f t="shared" si="1"/>
        <v>109.20976479062661</v>
      </c>
      <c r="J42" s="13">
        <f t="shared" si="2"/>
        <v>108.43967792976092</v>
      </c>
      <c r="L42" s="126">
        <f t="shared" si="7"/>
        <v>-7.7199999999997999</v>
      </c>
      <c r="M42" s="129">
        <f t="shared" si="8"/>
        <v>0.5</v>
      </c>
      <c r="N42" s="129">
        <f t="shared" si="9"/>
        <v>-0.20000000000000018</v>
      </c>
      <c r="O42" s="129">
        <f t="shared" si="10"/>
        <v>-7.0199999999997997</v>
      </c>
      <c r="P42" s="126">
        <f t="shared" si="11"/>
        <v>59.598399999996907</v>
      </c>
      <c r="Q42" s="126">
        <f t="shared" si="12"/>
        <v>-7.7199999999997999</v>
      </c>
      <c r="R42" s="130">
        <f t="shared" si="13"/>
        <v>1.0886018751843529E-2</v>
      </c>
      <c r="AI42" s="3">
        <f>AI41+25</f>
        <v>2400</v>
      </c>
      <c r="AJ42" s="3">
        <f t="shared" si="3"/>
        <v>-1.6900000000000546</v>
      </c>
      <c r="AK42" s="16">
        <f t="shared" si="4"/>
        <v>-41</v>
      </c>
      <c r="AL42" s="16">
        <f t="shared" si="5"/>
        <v>-18.899999999999999</v>
      </c>
      <c r="AM42" s="16">
        <f t="shared" si="6"/>
        <v>-23.790000000000056</v>
      </c>
    </row>
    <row r="43" spans="1:39">
      <c r="A43" s="4">
        <v>40045</v>
      </c>
      <c r="B43" s="3">
        <v>2663.67</v>
      </c>
      <c r="C43" s="11">
        <v>8.5100000000000002E-3</v>
      </c>
      <c r="D43" s="6">
        <v>3.4</v>
      </c>
      <c r="E43" s="6">
        <v>1.4</v>
      </c>
      <c r="F43" s="12">
        <v>0.44805769971325271</v>
      </c>
      <c r="G43" s="12">
        <v>0.53229251860817639</v>
      </c>
      <c r="H43" s="13">
        <f t="shared" si="0"/>
        <v>2665.07</v>
      </c>
      <c r="I43" s="13">
        <f t="shared" si="1"/>
        <v>110.90815217617593</v>
      </c>
      <c r="J43" s="13">
        <f t="shared" si="2"/>
        <v>110.10001693801925</v>
      </c>
      <c r="L43" s="126">
        <f t="shared" si="7"/>
        <v>40.789999999999964</v>
      </c>
      <c r="M43" s="129">
        <f t="shared" si="8"/>
        <v>-2.1</v>
      </c>
      <c r="N43" s="129">
        <f t="shared" si="9"/>
        <v>-0.60000000000000009</v>
      </c>
      <c r="O43" s="129">
        <f t="shared" si="10"/>
        <v>39.289999999999964</v>
      </c>
      <c r="P43" s="126">
        <f t="shared" si="11"/>
        <v>1663.8240999999971</v>
      </c>
      <c r="Q43" s="126">
        <f t="shared" si="12"/>
        <v>40.789999999999964</v>
      </c>
      <c r="R43" s="130">
        <f t="shared" si="13"/>
        <v>-7.6602972008374404E-3</v>
      </c>
      <c r="AI43" s="3">
        <f t="shared" si="14"/>
        <v>2425</v>
      </c>
      <c r="AJ43" s="3">
        <f t="shared" si="3"/>
        <v>23.309999999999945</v>
      </c>
      <c r="AK43" s="16">
        <f t="shared" si="4"/>
        <v>-41</v>
      </c>
      <c r="AL43" s="16">
        <f t="shared" si="5"/>
        <v>-18.899999999999999</v>
      </c>
      <c r="AM43" s="16">
        <f t="shared" si="6"/>
        <v>1.209999999999944</v>
      </c>
    </row>
    <row r="44" spans="1:39">
      <c r="A44" s="4">
        <v>40046</v>
      </c>
      <c r="B44" s="3">
        <v>2745.62</v>
      </c>
      <c r="C44" s="11">
        <v>8.4899999999999993E-3</v>
      </c>
      <c r="D44" s="6">
        <v>1.9</v>
      </c>
      <c r="E44" s="6">
        <v>1.1000000000000001</v>
      </c>
      <c r="F44" s="12">
        <v>0.45910326723331346</v>
      </c>
      <c r="G44" s="12">
        <v>0.56476649139644319</v>
      </c>
      <c r="H44" s="13">
        <f t="shared" si="0"/>
        <v>2746.72</v>
      </c>
      <c r="I44" s="13">
        <f t="shared" si="1"/>
        <v>114.32033276567751</v>
      </c>
      <c r="J44" s="13">
        <f t="shared" si="2"/>
        <v>113.47316150194786</v>
      </c>
      <c r="L44" s="126">
        <f t="shared" si="7"/>
        <v>81.949999999999818</v>
      </c>
      <c r="M44" s="129">
        <f t="shared" si="8"/>
        <v>-1.5</v>
      </c>
      <c r="N44" s="129">
        <f t="shared" si="9"/>
        <v>-0.29999999999999982</v>
      </c>
      <c r="O44" s="129">
        <f t="shared" si="10"/>
        <v>80.749999999999815</v>
      </c>
      <c r="P44" s="126">
        <f t="shared" si="11"/>
        <v>6715.8024999999698</v>
      </c>
      <c r="Q44" s="126">
        <f t="shared" si="12"/>
        <v>81.949999999999818</v>
      </c>
      <c r="R44" s="130">
        <f t="shared" si="13"/>
        <v>1.1045567520060751E-2</v>
      </c>
      <c r="AI44" s="3">
        <f t="shared" si="14"/>
        <v>2450</v>
      </c>
      <c r="AJ44" s="3">
        <f t="shared" si="3"/>
        <v>48.309999999999945</v>
      </c>
      <c r="AK44" s="16">
        <f t="shared" si="4"/>
        <v>-41</v>
      </c>
      <c r="AL44" s="16">
        <f t="shared" si="5"/>
        <v>-18.899999999999999</v>
      </c>
      <c r="AM44" s="16">
        <f t="shared" si="6"/>
        <v>26.209999999999944</v>
      </c>
    </row>
    <row r="45" spans="1:39">
      <c r="A45" s="4">
        <v>40049</v>
      </c>
      <c r="B45" s="3">
        <v>2778.34</v>
      </c>
      <c r="C45" s="11">
        <v>8.43E-3</v>
      </c>
      <c r="D45" s="6">
        <v>1.8</v>
      </c>
      <c r="E45" s="6">
        <v>0.9</v>
      </c>
      <c r="F45" s="12">
        <v>0.49968884348255727</v>
      </c>
      <c r="G45" s="12">
        <v>0.59911240722341386</v>
      </c>
      <c r="H45" s="13">
        <f t="shared" si="0"/>
        <v>2779.2400000000002</v>
      </c>
      <c r="I45" s="13">
        <f t="shared" si="1"/>
        <v>115.68270676065605</v>
      </c>
      <c r="J45" s="13">
        <f t="shared" si="2"/>
        <v>114.81663561363138</v>
      </c>
      <c r="L45" s="126">
        <f t="shared" si="7"/>
        <v>32.720000000000255</v>
      </c>
      <c r="M45" s="129">
        <f t="shared" si="8"/>
        <v>-9.9999999999999867E-2</v>
      </c>
      <c r="N45" s="129">
        <f t="shared" si="9"/>
        <v>-0.20000000000000007</v>
      </c>
      <c r="O45" s="129">
        <f t="shared" si="10"/>
        <v>32.820000000000256</v>
      </c>
      <c r="P45" s="126">
        <f t="shared" si="11"/>
        <v>1070.5984000000167</v>
      </c>
      <c r="Q45" s="126">
        <f t="shared" si="12"/>
        <v>32.720000000000255</v>
      </c>
      <c r="R45" s="130">
        <f t="shared" si="13"/>
        <v>4.0585576249243804E-2</v>
      </c>
      <c r="AI45" s="3">
        <f t="shared" si="14"/>
        <v>2475</v>
      </c>
      <c r="AJ45" s="3">
        <f t="shared" si="3"/>
        <v>73.309999999999945</v>
      </c>
      <c r="AK45" s="16">
        <f t="shared" si="4"/>
        <v>-41</v>
      </c>
      <c r="AL45" s="16">
        <f t="shared" si="5"/>
        <v>-18.899999999999999</v>
      </c>
      <c r="AM45" s="16">
        <f t="shared" si="6"/>
        <v>51.209999999999944</v>
      </c>
    </row>
    <row r="46" spans="1:39">
      <c r="A46" s="4">
        <v>40050</v>
      </c>
      <c r="B46" s="3">
        <v>2801.14</v>
      </c>
      <c r="C46" s="11">
        <v>8.3800000000000003E-3</v>
      </c>
      <c r="D46" s="6">
        <v>1.6</v>
      </c>
      <c r="E46" s="6">
        <v>0.8</v>
      </c>
      <c r="F46" s="12">
        <v>0.51381276545783772</v>
      </c>
      <c r="G46" s="12">
        <v>0.6141041160546552</v>
      </c>
      <c r="H46" s="13">
        <f t="shared" si="0"/>
        <v>2801.94</v>
      </c>
      <c r="I46" s="13">
        <f t="shared" si="1"/>
        <v>116.63203827304937</v>
      </c>
      <c r="J46" s="13">
        <f t="shared" si="2"/>
        <v>115.75442350831821</v>
      </c>
      <c r="L46" s="126">
        <f t="shared" si="7"/>
        <v>22.799999999999727</v>
      </c>
      <c r="M46" s="129">
        <f t="shared" si="8"/>
        <v>-0.19999999999999996</v>
      </c>
      <c r="N46" s="129">
        <f t="shared" si="9"/>
        <v>-9.9999999999999978E-2</v>
      </c>
      <c r="O46" s="129">
        <f t="shared" si="10"/>
        <v>22.699999999999729</v>
      </c>
      <c r="P46" s="126">
        <f t="shared" si="11"/>
        <v>519.83999999998753</v>
      </c>
      <c r="Q46" s="126">
        <f t="shared" si="12"/>
        <v>22.799999999999727</v>
      </c>
      <c r="R46" s="130">
        <f t="shared" si="13"/>
        <v>1.4123921975280451E-2</v>
      </c>
      <c r="AI46" s="3">
        <f t="shared" si="14"/>
        <v>2500</v>
      </c>
      <c r="AJ46" s="3">
        <f t="shared" si="3"/>
        <v>98.309999999999945</v>
      </c>
      <c r="AK46" s="16">
        <f t="shared" si="4"/>
        <v>-41</v>
      </c>
      <c r="AL46" s="16">
        <f t="shared" si="5"/>
        <v>-18.899999999999999</v>
      </c>
      <c r="AM46" s="16">
        <f t="shared" si="6"/>
        <v>76.209999999999951</v>
      </c>
    </row>
    <row r="47" spans="1:39">
      <c r="A47" s="4">
        <v>40051</v>
      </c>
      <c r="B47" s="3">
        <v>2788.9</v>
      </c>
      <c r="C47" s="11">
        <v>8.3400000000000002E-3</v>
      </c>
      <c r="D47" s="6">
        <v>1.6</v>
      </c>
      <c r="E47" s="6">
        <v>0.8</v>
      </c>
      <c r="F47" s="12">
        <v>0.51811207964437511</v>
      </c>
      <c r="G47" s="12">
        <v>0.62118304880995401</v>
      </c>
      <c r="H47" s="13">
        <f t="shared" si="0"/>
        <v>2789.7000000000003</v>
      </c>
      <c r="I47" s="13">
        <f t="shared" si="1"/>
        <v>116.1223971453435</v>
      </c>
      <c r="J47" s="13">
        <f t="shared" si="2"/>
        <v>115.24876166554436</v>
      </c>
      <c r="L47" s="126">
        <f t="shared" si="7"/>
        <v>-12.239999999999782</v>
      </c>
      <c r="M47" s="129">
        <f t="shared" si="8"/>
        <v>0</v>
      </c>
      <c r="N47" s="129">
        <f t="shared" si="9"/>
        <v>0</v>
      </c>
      <c r="O47" s="129">
        <f t="shared" si="10"/>
        <v>-12.239999999999782</v>
      </c>
      <c r="P47" s="126">
        <f t="shared" si="11"/>
        <v>149.81759999999466</v>
      </c>
      <c r="Q47" s="126">
        <f t="shared" si="12"/>
        <v>-12.239999999999782</v>
      </c>
      <c r="R47" s="130">
        <f t="shared" si="13"/>
        <v>4.2993141865373952E-3</v>
      </c>
      <c r="AI47" s="3">
        <f t="shared" si="14"/>
        <v>2525</v>
      </c>
      <c r="AJ47" s="3">
        <f t="shared" si="3"/>
        <v>123.30999999999995</v>
      </c>
      <c r="AK47" s="16">
        <f t="shared" si="4"/>
        <v>-41</v>
      </c>
      <c r="AL47" s="16">
        <f t="shared" si="5"/>
        <v>-18.899999999999999</v>
      </c>
      <c r="AM47" s="16">
        <f t="shared" si="6"/>
        <v>101.20999999999995</v>
      </c>
    </row>
    <row r="48" spans="1:39">
      <c r="A48" s="4">
        <v>40052</v>
      </c>
      <c r="B48" s="3">
        <v>2777.62</v>
      </c>
      <c r="C48" s="11">
        <v>8.2899999999999988E-3</v>
      </c>
      <c r="D48" s="6">
        <v>1.4</v>
      </c>
      <c r="E48" s="6">
        <v>0.8</v>
      </c>
      <c r="F48" s="12">
        <v>0.51381164095262888</v>
      </c>
      <c r="G48" s="12">
        <v>0.62933246291931788</v>
      </c>
      <c r="H48" s="13">
        <f t="shared" si="0"/>
        <v>2778.42</v>
      </c>
      <c r="I48" s="13">
        <f t="shared" si="1"/>
        <v>115.65272787079097</v>
      </c>
      <c r="J48" s="13">
        <f t="shared" si="2"/>
        <v>114.78275957514489</v>
      </c>
      <c r="L48" s="126">
        <f t="shared" si="7"/>
        <v>-11.2800000000002</v>
      </c>
      <c r="M48" s="129">
        <f t="shared" si="8"/>
        <v>-0.20000000000000018</v>
      </c>
      <c r="N48" s="129">
        <f t="shared" si="9"/>
        <v>0</v>
      </c>
      <c r="O48" s="129">
        <f t="shared" si="10"/>
        <v>-11.480000000000199</v>
      </c>
      <c r="P48" s="126">
        <f t="shared" si="11"/>
        <v>127.23840000000452</v>
      </c>
      <c r="Q48" s="126">
        <f t="shared" si="12"/>
        <v>-11.2800000000002</v>
      </c>
      <c r="R48" s="130">
        <f t="shared" si="13"/>
        <v>-4.3004386917462334E-3</v>
      </c>
      <c r="AI48" s="3">
        <f t="shared" si="14"/>
        <v>2550</v>
      </c>
      <c r="AJ48" s="3">
        <f t="shared" si="3"/>
        <v>148.30999999999995</v>
      </c>
      <c r="AK48" s="16">
        <f t="shared" si="4"/>
        <v>-41</v>
      </c>
      <c r="AL48" s="16">
        <f t="shared" si="5"/>
        <v>-18.899999999999999</v>
      </c>
      <c r="AM48" s="16">
        <f t="shared" si="6"/>
        <v>126.20999999999995</v>
      </c>
    </row>
    <row r="49" spans="1:39">
      <c r="A49" s="4">
        <v>40053</v>
      </c>
      <c r="B49" s="3">
        <v>2803.65</v>
      </c>
      <c r="C49" s="11">
        <v>8.2500000000000004E-3</v>
      </c>
      <c r="D49" s="6">
        <v>1</v>
      </c>
      <c r="E49" s="6">
        <v>0.5</v>
      </c>
      <c r="F49" s="12">
        <v>0.51735875286747635</v>
      </c>
      <c r="G49" s="12">
        <v>0.62396899534977135</v>
      </c>
      <c r="H49" s="13">
        <f t="shared" si="0"/>
        <v>2804.15</v>
      </c>
      <c r="I49" s="13">
        <f t="shared" si="1"/>
        <v>116.73654801410673</v>
      </c>
      <c r="J49" s="13">
        <f>(H49/$H$6)*100</f>
        <v>115.8457235632635</v>
      </c>
      <c r="L49" s="126">
        <f>B49-B48</f>
        <v>26.0300000000002</v>
      </c>
      <c r="M49" s="129">
        <f t="shared" si="8"/>
        <v>-0.39999999999999991</v>
      </c>
      <c r="N49" s="129">
        <f t="shared" si="9"/>
        <v>-0.30000000000000004</v>
      </c>
      <c r="O49" s="129">
        <f t="shared" si="10"/>
        <v>25.930000000000202</v>
      </c>
      <c r="P49" s="126">
        <f t="shared" si="11"/>
        <v>677.56090000001041</v>
      </c>
      <c r="Q49" s="126">
        <f t="shared" si="12"/>
        <v>26.0300000000002</v>
      </c>
      <c r="R49" s="130">
        <f t="shared" si="13"/>
        <v>3.5471119148474672E-3</v>
      </c>
      <c r="AI49" s="3">
        <f t="shared" si="14"/>
        <v>2575</v>
      </c>
      <c r="AJ49" s="3">
        <f t="shared" si="3"/>
        <v>173.30999999999995</v>
      </c>
      <c r="AK49" s="16">
        <f t="shared" si="4"/>
        <v>-41</v>
      </c>
      <c r="AL49" s="16">
        <f t="shared" si="5"/>
        <v>-18.899999999999999</v>
      </c>
      <c r="AM49" s="16">
        <f t="shared" si="6"/>
        <v>151.20999999999995</v>
      </c>
    </row>
    <row r="50" spans="1:39">
      <c r="A50" s="4"/>
      <c r="C50" s="11"/>
      <c r="D50" s="6"/>
      <c r="E50" s="6"/>
      <c r="F50" s="12"/>
      <c r="G50" s="12"/>
      <c r="H50" s="12"/>
      <c r="I50" s="12"/>
      <c r="J50" s="12"/>
      <c r="M50" s="16"/>
      <c r="N50" s="16"/>
      <c r="O50" s="16"/>
      <c r="R50" s="58"/>
      <c r="AI50" s="3">
        <f t="shared" si="14"/>
        <v>2600</v>
      </c>
      <c r="AJ50" s="3">
        <f t="shared" si="3"/>
        <v>198.30999999999995</v>
      </c>
      <c r="AK50" s="16">
        <f t="shared" si="4"/>
        <v>-41</v>
      </c>
      <c r="AL50" s="16">
        <f t="shared" si="5"/>
        <v>-18.899999999999999</v>
      </c>
      <c r="AM50" s="16">
        <f t="shared" si="6"/>
        <v>176.20999999999995</v>
      </c>
    </row>
    <row r="51" spans="1:39">
      <c r="A51" s="4"/>
      <c r="C51" s="11"/>
      <c r="D51" s="6"/>
      <c r="E51" s="6"/>
      <c r="F51" s="12"/>
      <c r="G51" s="12"/>
      <c r="H51" s="12"/>
      <c r="I51" s="12"/>
      <c r="J51" s="12"/>
      <c r="AI51" s="3">
        <f t="shared" si="14"/>
        <v>2625</v>
      </c>
      <c r="AJ51" s="3">
        <f t="shared" si="3"/>
        <v>223.30999999999995</v>
      </c>
      <c r="AK51" s="16">
        <f t="shared" si="4"/>
        <v>-41</v>
      </c>
      <c r="AL51" s="16">
        <f t="shared" si="5"/>
        <v>-18.899999999999999</v>
      </c>
      <c r="AM51" s="16">
        <f t="shared" si="6"/>
        <v>201.20999999999995</v>
      </c>
    </row>
    <row r="52" spans="1:39">
      <c r="A52" s="74" t="s">
        <v>89</v>
      </c>
      <c r="C52" s="11"/>
      <c r="D52" s="6"/>
      <c r="E52" s="12"/>
      <c r="F52" s="13"/>
      <c r="G52" s="13"/>
      <c r="H52" s="13"/>
      <c r="I52" s="13"/>
      <c r="J52" s="13"/>
      <c r="K52" s="13"/>
      <c r="L52" s="13"/>
      <c r="AI52" s="3">
        <f t="shared" si="14"/>
        <v>2650</v>
      </c>
      <c r="AJ52" s="3">
        <f t="shared" si="3"/>
        <v>248.30999999999995</v>
      </c>
      <c r="AK52" s="16">
        <f t="shared" si="4"/>
        <v>-41</v>
      </c>
      <c r="AL52" s="16">
        <f t="shared" si="5"/>
        <v>-18.899999999999999</v>
      </c>
      <c r="AM52" s="16">
        <f t="shared" si="6"/>
        <v>226.20999999999995</v>
      </c>
    </row>
    <row r="53" spans="1:39">
      <c r="A53" s="62" t="s">
        <v>35</v>
      </c>
      <c r="E53" s="68"/>
      <c r="F53" s="69" t="s">
        <v>36</v>
      </c>
      <c r="G53" s="69"/>
      <c r="H53" s="69"/>
      <c r="I53" s="69"/>
      <c r="J53" s="69"/>
      <c r="K53" s="68"/>
      <c r="AI53" s="3">
        <f t="shared" si="14"/>
        <v>2675</v>
      </c>
      <c r="AJ53" s="3">
        <f t="shared" si="3"/>
        <v>273.30999999999995</v>
      </c>
      <c r="AK53" s="16">
        <f t="shared" si="4"/>
        <v>-41</v>
      </c>
      <c r="AL53" s="16">
        <f t="shared" si="5"/>
        <v>-18.899999999999999</v>
      </c>
      <c r="AM53" s="16">
        <f t="shared" si="6"/>
        <v>251.20999999999995</v>
      </c>
    </row>
    <row r="54" spans="1:39">
      <c r="A54" s="65" t="s">
        <v>4</v>
      </c>
      <c r="B54" s="27" t="s">
        <v>37</v>
      </c>
      <c r="E54" s="110" t="s">
        <v>38</v>
      </c>
      <c r="F54" s="70" t="s">
        <v>39</v>
      </c>
      <c r="G54" s="70"/>
      <c r="H54" s="70"/>
      <c r="I54" s="70" t="s">
        <v>40</v>
      </c>
      <c r="J54" s="68"/>
      <c r="L54" s="70" t="s">
        <v>41</v>
      </c>
      <c r="AI54" s="3">
        <f t="shared" si="14"/>
        <v>2700</v>
      </c>
      <c r="AJ54" s="3">
        <f t="shared" si="3"/>
        <v>298.30999999999995</v>
      </c>
      <c r="AK54" s="16">
        <f t="shared" si="4"/>
        <v>-41</v>
      </c>
      <c r="AL54" s="16">
        <f t="shared" si="5"/>
        <v>-18.899999999999999</v>
      </c>
      <c r="AM54" s="16">
        <f t="shared" si="6"/>
        <v>276.20999999999992</v>
      </c>
    </row>
    <row r="55" spans="1:39">
      <c r="A55" s="66">
        <f>A6</f>
        <v>39994</v>
      </c>
      <c r="B55" s="63"/>
      <c r="E55" s="68"/>
      <c r="F55" s="68">
        <f>B49/B6-1</f>
        <v>0.16736548014106734</v>
      </c>
      <c r="G55" s="68"/>
      <c r="H55" s="68"/>
      <c r="I55" s="68">
        <f>_xlfn.STDEV.S(B55:B98)</f>
        <v>1.4440576391812635E-2</v>
      </c>
      <c r="J55" s="68"/>
      <c r="L55" s="68">
        <f>I55*SQRT(252)</f>
        <v>0.22923704352699992</v>
      </c>
      <c r="AI55" s="3">
        <f t="shared" si="14"/>
        <v>2725</v>
      </c>
      <c r="AJ55" s="3">
        <f t="shared" si="3"/>
        <v>323.30999999999995</v>
      </c>
      <c r="AK55" s="16">
        <f t="shared" si="4"/>
        <v>-41</v>
      </c>
      <c r="AL55" s="16">
        <f t="shared" si="5"/>
        <v>-18.899999999999999</v>
      </c>
      <c r="AM55" s="16">
        <f t="shared" si="6"/>
        <v>301.20999999999992</v>
      </c>
    </row>
    <row r="56" spans="1:39">
      <c r="A56" s="66">
        <f t="shared" ref="A56:A98" si="17">A7</f>
        <v>39995</v>
      </c>
      <c r="B56" s="63">
        <f>B7/B6-1</f>
        <v>2.0002581515516038E-2</v>
      </c>
      <c r="E56" s="68"/>
      <c r="F56" s="68"/>
      <c r="G56" s="68"/>
      <c r="H56" s="68"/>
      <c r="I56" s="68"/>
      <c r="J56" s="68"/>
      <c r="K56" s="68"/>
      <c r="AI56" s="3">
        <f t="shared" si="14"/>
        <v>2750</v>
      </c>
      <c r="AJ56" s="3">
        <f t="shared" si="3"/>
        <v>348.30999999999995</v>
      </c>
      <c r="AK56" s="16">
        <f t="shared" si="4"/>
        <v>-41</v>
      </c>
      <c r="AL56" s="16">
        <f t="shared" si="5"/>
        <v>-18.899999999999999</v>
      </c>
      <c r="AM56" s="16">
        <f t="shared" si="6"/>
        <v>326.20999999999992</v>
      </c>
    </row>
    <row r="57" spans="1:39">
      <c r="A57" s="66">
        <f t="shared" si="17"/>
        <v>39996</v>
      </c>
      <c r="B57" s="63">
        <f t="shared" ref="B57:B98" si="18">B8/B7-1</f>
        <v>-3.2689316781849387E-2</v>
      </c>
      <c r="E57" s="68"/>
      <c r="F57" s="68"/>
      <c r="G57" s="68"/>
      <c r="H57" s="68"/>
      <c r="I57" s="68"/>
      <c r="J57" s="68"/>
      <c r="K57" s="68"/>
      <c r="AI57" s="3">
        <f t="shared" si="14"/>
        <v>2775</v>
      </c>
      <c r="AJ57" s="3">
        <f t="shared" si="3"/>
        <v>373.30999999999995</v>
      </c>
      <c r="AK57" s="16">
        <f t="shared" si="4"/>
        <v>-41</v>
      </c>
      <c r="AL57" s="16">
        <f t="shared" si="5"/>
        <v>-18.899999999999999</v>
      </c>
      <c r="AM57" s="16">
        <f t="shared" si="6"/>
        <v>351.20999999999992</v>
      </c>
    </row>
    <row r="58" spans="1:39">
      <c r="A58" s="66">
        <f t="shared" si="17"/>
        <v>39997</v>
      </c>
      <c r="B58" s="63">
        <f t="shared" si="18"/>
        <v>2.8822821935727827E-3</v>
      </c>
      <c r="E58" s="110" t="s">
        <v>42</v>
      </c>
      <c r="F58" s="70" t="s">
        <v>90</v>
      </c>
      <c r="G58" s="70"/>
      <c r="H58" s="70"/>
      <c r="I58" s="70"/>
      <c r="J58" s="70"/>
      <c r="K58" s="68"/>
      <c r="AI58" s="3">
        <f t="shared" si="14"/>
        <v>2800</v>
      </c>
      <c r="AJ58" s="3">
        <f t="shared" si="3"/>
        <v>398.30999999999995</v>
      </c>
      <c r="AK58" s="16">
        <f t="shared" si="4"/>
        <v>-41</v>
      </c>
      <c r="AL58" s="16">
        <f t="shared" si="5"/>
        <v>-18.899999999999999</v>
      </c>
      <c r="AM58" s="16">
        <f t="shared" si="6"/>
        <v>376.20999999999992</v>
      </c>
    </row>
    <row r="59" spans="1:39">
      <c r="A59" s="66">
        <f t="shared" si="17"/>
        <v>40000</v>
      </c>
      <c r="B59" s="63">
        <f t="shared" si="18"/>
        <v>-1.3717767454386243E-2</v>
      </c>
      <c r="E59" s="68"/>
      <c r="F59" s="68">
        <f>J49/J6-1</f>
        <v>0.15845723563263503</v>
      </c>
      <c r="G59" s="68"/>
      <c r="H59" s="68"/>
      <c r="I59" s="68"/>
      <c r="J59" s="68"/>
      <c r="K59" s="68"/>
      <c r="L59" s="68"/>
      <c r="M59" s="68"/>
      <c r="AI59" s="3">
        <f t="shared" si="14"/>
        <v>2825</v>
      </c>
      <c r="AJ59" s="3">
        <f t="shared" si="3"/>
        <v>423.30999999999995</v>
      </c>
      <c r="AK59" s="16">
        <f t="shared" si="4"/>
        <v>-41</v>
      </c>
      <c r="AL59" s="16">
        <f t="shared" si="5"/>
        <v>-18.899999999999999</v>
      </c>
      <c r="AM59" s="16">
        <f t="shared" si="6"/>
        <v>401.20999999999992</v>
      </c>
    </row>
    <row r="60" spans="1:39">
      <c r="A60" s="66">
        <f t="shared" si="17"/>
        <v>40001</v>
      </c>
      <c r="B60" s="63">
        <f t="shared" si="18"/>
        <v>-9.8042561905899994E-3</v>
      </c>
      <c r="E60" s="68"/>
      <c r="F60" s="68"/>
      <c r="G60" s="68"/>
      <c r="H60" s="68"/>
      <c r="I60" s="68"/>
      <c r="J60" s="68"/>
      <c r="K60" s="68"/>
      <c r="L60" s="68"/>
      <c r="M60" s="68"/>
      <c r="AI60" s="3">
        <f t="shared" si="14"/>
        <v>2850</v>
      </c>
      <c r="AJ60" s="3">
        <f t="shared" si="3"/>
        <v>448.30999999999995</v>
      </c>
      <c r="AK60" s="16">
        <f t="shared" si="4"/>
        <v>-41</v>
      </c>
      <c r="AL60" s="16">
        <f t="shared" si="5"/>
        <v>-18.899999999999999</v>
      </c>
      <c r="AM60" s="16">
        <f t="shared" si="6"/>
        <v>426.20999999999992</v>
      </c>
    </row>
    <row r="61" spans="1:39">
      <c r="A61" s="66">
        <f t="shared" si="17"/>
        <v>40002</v>
      </c>
      <c r="B61" s="63">
        <f t="shared" si="18"/>
        <v>-1.2740747123960561E-2</v>
      </c>
      <c r="E61" s="110" t="s">
        <v>44</v>
      </c>
      <c r="F61" s="70" t="s">
        <v>45</v>
      </c>
      <c r="G61" s="70"/>
      <c r="H61" s="70"/>
      <c r="I61" s="70"/>
      <c r="J61" s="70"/>
      <c r="K61" s="70"/>
      <c r="L61" s="70"/>
      <c r="M61" s="68"/>
      <c r="AI61" s="3">
        <f t="shared" si="14"/>
        <v>2875</v>
      </c>
      <c r="AJ61" s="3">
        <f t="shared" si="3"/>
        <v>473.30999999999995</v>
      </c>
      <c r="AK61" s="16">
        <f t="shared" si="4"/>
        <v>-41</v>
      </c>
      <c r="AL61" s="16">
        <f t="shared" si="5"/>
        <v>-18.899999999999999</v>
      </c>
      <c r="AM61" s="16">
        <f t="shared" si="6"/>
        <v>451.20999999999992</v>
      </c>
    </row>
    <row r="62" spans="1:39">
      <c r="A62" s="66">
        <f t="shared" si="17"/>
        <v>40003</v>
      </c>
      <c r="B62" s="63">
        <f t="shared" si="18"/>
        <v>9.8370815203396855E-3</v>
      </c>
      <c r="E62" s="68"/>
      <c r="F62" s="68">
        <f>I49/I6-1</f>
        <v>0.16736548014106734</v>
      </c>
      <c r="G62" s="68"/>
      <c r="H62" s="68"/>
      <c r="I62" s="68"/>
      <c r="J62" s="68"/>
      <c r="K62" s="68"/>
      <c r="L62" s="68"/>
      <c r="M62" s="68"/>
      <c r="AI62" s="3">
        <f t="shared" si="14"/>
        <v>2900</v>
      </c>
      <c r="AJ62" s="3">
        <f t="shared" si="3"/>
        <v>498.30999999999995</v>
      </c>
      <c r="AK62" s="16">
        <f t="shared" si="4"/>
        <v>-41</v>
      </c>
      <c r="AL62" s="16">
        <f t="shared" si="5"/>
        <v>-18.899999999999999</v>
      </c>
      <c r="AM62" s="16">
        <f t="shared" si="6"/>
        <v>476.20999999999992</v>
      </c>
    </row>
    <row r="63" spans="1:39">
      <c r="A63" s="66">
        <f t="shared" si="17"/>
        <v>40004</v>
      </c>
      <c r="B63" s="63">
        <f t="shared" si="18"/>
        <v>-1.4002515266631321E-2</v>
      </c>
      <c r="E63" s="68"/>
      <c r="F63" s="68"/>
      <c r="G63" s="68"/>
      <c r="H63" s="68"/>
      <c r="I63" s="68"/>
      <c r="J63" s="68"/>
      <c r="K63" s="68"/>
      <c r="L63" s="68"/>
      <c r="M63" s="68"/>
      <c r="AI63" s="3">
        <f t="shared" si="14"/>
        <v>2925</v>
      </c>
      <c r="AJ63" s="3">
        <f t="shared" si="3"/>
        <v>523.30999999999995</v>
      </c>
      <c r="AK63" s="16">
        <f t="shared" si="4"/>
        <v>-41</v>
      </c>
      <c r="AL63" s="16">
        <f t="shared" si="5"/>
        <v>-18.899999999999999</v>
      </c>
      <c r="AM63" s="16">
        <f t="shared" si="6"/>
        <v>501.20999999999992</v>
      </c>
    </row>
    <row r="64" spans="1:39">
      <c r="A64" s="66">
        <f t="shared" si="17"/>
        <v>40007</v>
      </c>
      <c r="B64" s="63">
        <f t="shared" si="18"/>
        <v>2.7942510749648264E-2</v>
      </c>
      <c r="E64" s="110" t="s">
        <v>46</v>
      </c>
      <c r="F64" s="70" t="s">
        <v>91</v>
      </c>
      <c r="G64" s="70"/>
      <c r="H64" s="70"/>
      <c r="I64" s="70"/>
      <c r="J64" s="70"/>
      <c r="K64" s="70"/>
      <c r="L64" s="70"/>
      <c r="M64" s="68"/>
      <c r="AI64" s="3">
        <f t="shared" si="14"/>
        <v>2950</v>
      </c>
      <c r="AJ64" s="3">
        <f t="shared" si="3"/>
        <v>548.30999999999995</v>
      </c>
      <c r="AK64" s="16">
        <f t="shared" si="4"/>
        <v>-41</v>
      </c>
      <c r="AL64" s="16">
        <f t="shared" si="5"/>
        <v>-18.899999999999999</v>
      </c>
      <c r="AM64" s="16">
        <f t="shared" si="6"/>
        <v>526.20999999999992</v>
      </c>
    </row>
    <row r="65" spans="1:39">
      <c r="A65" s="66">
        <f t="shared" si="17"/>
        <v>40008</v>
      </c>
      <c r="B65" s="63">
        <f t="shared" si="18"/>
        <v>1.0868916348999447E-2</v>
      </c>
      <c r="E65" s="68"/>
      <c r="F65" s="68">
        <f>F59-F62</f>
        <v>-8.9082445084323059E-3</v>
      </c>
      <c r="G65" s="68"/>
      <c r="H65" s="68"/>
      <c r="I65" s="68"/>
      <c r="J65" s="68"/>
      <c r="K65" s="68"/>
      <c r="L65" s="68"/>
      <c r="M65" s="68"/>
      <c r="AI65" s="3">
        <f t="shared" si="14"/>
        <v>2975</v>
      </c>
      <c r="AJ65" s="3">
        <f t="shared" si="3"/>
        <v>573.30999999999995</v>
      </c>
      <c r="AK65" s="16">
        <f t="shared" si="4"/>
        <v>-41</v>
      </c>
      <c r="AL65" s="16">
        <f t="shared" si="5"/>
        <v>-18.899999999999999</v>
      </c>
      <c r="AM65" s="16">
        <f t="shared" si="6"/>
        <v>551.20999999999992</v>
      </c>
    </row>
    <row r="66" spans="1:39">
      <c r="A66" s="66">
        <f t="shared" si="17"/>
        <v>40009</v>
      </c>
      <c r="B66" s="63">
        <f t="shared" si="18"/>
        <v>3.3875927464767974E-2</v>
      </c>
      <c r="E66" s="68"/>
      <c r="F66" s="68"/>
      <c r="G66" s="68"/>
      <c r="H66" s="68"/>
      <c r="I66" s="68"/>
      <c r="J66" s="68"/>
      <c r="K66" s="68"/>
      <c r="L66" s="68"/>
      <c r="M66" s="68"/>
      <c r="AI66" s="3">
        <f t="shared" si="14"/>
        <v>3000</v>
      </c>
      <c r="AJ66" s="3">
        <f t="shared" si="3"/>
        <v>598.30999999999995</v>
      </c>
      <c r="AK66" s="16">
        <f t="shared" si="4"/>
        <v>-41</v>
      </c>
      <c r="AL66" s="16">
        <f t="shared" si="5"/>
        <v>-18.899999999999999</v>
      </c>
      <c r="AM66" s="16">
        <f t="shared" si="6"/>
        <v>576.20999999999992</v>
      </c>
    </row>
    <row r="67" spans="1:39">
      <c r="A67" s="66">
        <f t="shared" si="17"/>
        <v>40010</v>
      </c>
      <c r="B67" s="63">
        <f t="shared" si="18"/>
        <v>3.2435475842709227E-3</v>
      </c>
      <c r="E67" s="68"/>
      <c r="F67" s="68"/>
      <c r="G67" s="68"/>
      <c r="H67" s="68"/>
      <c r="I67" s="68"/>
      <c r="J67" s="68"/>
      <c r="K67" s="68"/>
      <c r="L67" s="68"/>
      <c r="M67" s="68"/>
      <c r="AK67" s="16"/>
      <c r="AL67" s="16"/>
      <c r="AM67" s="16"/>
    </row>
    <row r="68" spans="1:39">
      <c r="A68" s="66">
        <f t="shared" si="17"/>
        <v>40011</v>
      </c>
      <c r="B68" s="63">
        <f t="shared" si="18"/>
        <v>4.1602784905874213E-3</v>
      </c>
      <c r="E68" s="68"/>
      <c r="F68" s="68"/>
      <c r="G68" s="68"/>
      <c r="H68" s="68"/>
      <c r="I68" s="68"/>
      <c r="J68" s="68"/>
      <c r="K68" s="68"/>
      <c r="L68" s="68"/>
      <c r="M68" s="68"/>
      <c r="AK68" s="16"/>
      <c r="AL68" s="16"/>
      <c r="AM68" s="16"/>
    </row>
    <row r="69" spans="1:39">
      <c r="A69" s="66">
        <f t="shared" si="17"/>
        <v>40014</v>
      </c>
      <c r="B69" s="63">
        <f t="shared" si="18"/>
        <v>1.2753118418921128E-2</v>
      </c>
      <c r="E69" s="68"/>
      <c r="F69" s="71" t="s">
        <v>48</v>
      </c>
      <c r="G69" s="71"/>
      <c r="H69" s="71"/>
      <c r="I69" s="71"/>
      <c r="J69" s="71"/>
      <c r="K69" s="71"/>
      <c r="L69" s="71"/>
      <c r="M69" s="68"/>
      <c r="AK69" s="16"/>
      <c r="AL69" s="16"/>
      <c r="AM69" s="16"/>
    </row>
    <row r="70" spans="1:39">
      <c r="A70" s="66">
        <f t="shared" si="17"/>
        <v>40015</v>
      </c>
      <c r="B70" s="63">
        <f t="shared" si="18"/>
        <v>7.7178698679163382E-3</v>
      </c>
      <c r="E70" s="68"/>
      <c r="F70" s="70" t="s">
        <v>49</v>
      </c>
      <c r="G70" s="70"/>
      <c r="H70" s="70" t="s">
        <v>50</v>
      </c>
      <c r="I70" s="70"/>
      <c r="J70" s="70" t="s">
        <v>51</v>
      </c>
      <c r="AK70" s="16"/>
      <c r="AL70" s="16"/>
      <c r="AM70" s="16"/>
    </row>
    <row r="71" spans="1:39">
      <c r="A71" s="66">
        <f t="shared" si="17"/>
        <v>40016</v>
      </c>
      <c r="B71" s="63">
        <f t="shared" si="18"/>
        <v>3.5158869678055815E-3</v>
      </c>
      <c r="E71" s="68"/>
      <c r="F71" s="73">
        <f>AVERAGE(G6:G49)</f>
        <v>0.46191861365280718</v>
      </c>
      <c r="G71" s="68"/>
      <c r="H71" s="73">
        <f>MAX(G6:G49)</f>
        <v>0.62933246291931788</v>
      </c>
      <c r="I71" s="68"/>
      <c r="J71" s="73">
        <f>MIN(G6:G49)</f>
        <v>0.39189174286430739</v>
      </c>
      <c r="AK71" s="16"/>
      <c r="AL71" s="16"/>
      <c r="AM71" s="16"/>
    </row>
    <row r="72" spans="1:39">
      <c r="A72" s="66">
        <f t="shared" si="17"/>
        <v>40017</v>
      </c>
      <c r="B72" s="63">
        <f t="shared" si="18"/>
        <v>2.2516163473515594E-2</v>
      </c>
      <c r="E72" s="68"/>
      <c r="F72" s="68"/>
      <c r="G72" s="68"/>
      <c r="H72" s="68"/>
      <c r="I72" s="68"/>
      <c r="J72" s="68"/>
      <c r="K72" s="68"/>
      <c r="L72" s="68"/>
      <c r="M72" s="68"/>
      <c r="AK72" s="16"/>
      <c r="AL72" s="16"/>
      <c r="AM72" s="16"/>
    </row>
    <row r="73" spans="1:39">
      <c r="A73" s="66">
        <f t="shared" si="17"/>
        <v>40018</v>
      </c>
      <c r="B73" s="63">
        <f t="shared" si="18"/>
        <v>-1.171788892369352E-3</v>
      </c>
      <c r="E73" s="68"/>
      <c r="F73" s="68"/>
      <c r="G73" s="68"/>
      <c r="H73" s="68"/>
      <c r="I73" s="68"/>
      <c r="J73" s="68"/>
      <c r="K73" s="68"/>
      <c r="L73" s="68"/>
      <c r="M73" s="68"/>
    </row>
    <row r="74" spans="1:39">
      <c r="A74" s="66">
        <f t="shared" si="17"/>
        <v>40021</v>
      </c>
      <c r="B74" s="63">
        <f t="shared" si="18"/>
        <v>7.2209574253898623E-3</v>
      </c>
      <c r="E74" s="68"/>
      <c r="F74" s="68"/>
      <c r="G74" s="68"/>
      <c r="H74" s="68"/>
      <c r="I74" s="68"/>
      <c r="J74" s="68"/>
      <c r="K74" s="68"/>
      <c r="L74" s="68"/>
      <c r="M74" s="68"/>
    </row>
    <row r="75" spans="1:39">
      <c r="A75" s="66">
        <f t="shared" si="17"/>
        <v>40022</v>
      </c>
      <c r="B75" s="63">
        <f t="shared" si="18"/>
        <v>-1.0890247980902656E-2</v>
      </c>
      <c r="E75" s="68"/>
      <c r="F75" s="68"/>
      <c r="G75" s="68"/>
      <c r="H75" s="68"/>
      <c r="I75" s="68"/>
      <c r="J75" s="68"/>
      <c r="K75" s="68"/>
      <c r="L75" s="68"/>
      <c r="M75" s="68"/>
    </row>
    <row r="76" spans="1:39">
      <c r="A76" s="66">
        <f t="shared" si="17"/>
        <v>40023</v>
      </c>
      <c r="B76" s="63">
        <f t="shared" si="18"/>
        <v>1.0582648032707809E-2</v>
      </c>
      <c r="E76" s="68"/>
      <c r="F76" s="68"/>
      <c r="G76" s="68"/>
      <c r="H76" s="68"/>
      <c r="I76" s="68"/>
      <c r="J76" s="68"/>
      <c r="K76" s="68"/>
      <c r="L76" s="68"/>
      <c r="M76" s="68"/>
    </row>
    <row r="77" spans="1:39">
      <c r="A77" s="66">
        <f t="shared" si="17"/>
        <v>40024</v>
      </c>
      <c r="B77" s="63">
        <f t="shared" si="18"/>
        <v>2.0932119631889901E-2</v>
      </c>
    </row>
    <row r="78" spans="1:39">
      <c r="A78" s="66">
        <f t="shared" si="17"/>
        <v>40025</v>
      </c>
      <c r="B78" s="63">
        <f t="shared" si="18"/>
        <v>-6.2567332394131148E-3</v>
      </c>
    </row>
    <row r="79" spans="1:39">
      <c r="A79" s="66">
        <f t="shared" si="17"/>
        <v>40028</v>
      </c>
      <c r="B79" s="63">
        <f t="shared" si="18"/>
        <v>1.3623286191355222E-2</v>
      </c>
    </row>
    <row r="80" spans="1:39">
      <c r="A80" s="66">
        <f t="shared" si="17"/>
        <v>40029</v>
      </c>
      <c r="B80" s="63">
        <f t="shared" si="18"/>
        <v>-1.1630211624976683E-3</v>
      </c>
    </row>
    <row r="81" spans="1:2">
      <c r="A81" s="66">
        <f t="shared" si="17"/>
        <v>40030</v>
      </c>
      <c r="B81" s="63">
        <f t="shared" si="18"/>
        <v>-1.0419474645820159E-2</v>
      </c>
    </row>
    <row r="82" spans="1:2">
      <c r="A82" s="66">
        <f t="shared" si="17"/>
        <v>40031</v>
      </c>
      <c r="B82" s="63">
        <f t="shared" si="18"/>
        <v>7.1430463125159438E-3</v>
      </c>
    </row>
    <row r="83" spans="1:2">
      <c r="A83" s="66">
        <f t="shared" si="17"/>
        <v>40032</v>
      </c>
      <c r="B83" s="63">
        <f t="shared" si="18"/>
        <v>1.6607751285682371E-2</v>
      </c>
    </row>
    <row r="84" spans="1:2">
      <c r="A84" s="66">
        <f t="shared" si="17"/>
        <v>40035</v>
      </c>
      <c r="B84" s="63">
        <f t="shared" si="18"/>
        <v>-4.6596359497748097E-3</v>
      </c>
    </row>
    <row r="85" spans="1:2">
      <c r="A85" s="66">
        <f t="shared" si="17"/>
        <v>40036</v>
      </c>
      <c r="B85" s="63">
        <f t="shared" si="18"/>
        <v>-1.5841194530759828E-2</v>
      </c>
    </row>
    <row r="86" spans="1:2">
      <c r="A86" s="66">
        <f t="shared" si="17"/>
        <v>40037</v>
      </c>
      <c r="B86" s="63">
        <f t="shared" si="18"/>
        <v>1.405916391921358E-2</v>
      </c>
    </row>
    <row r="87" spans="1:2">
      <c r="A87" s="66">
        <f t="shared" si="17"/>
        <v>40038</v>
      </c>
      <c r="B87" s="63">
        <f t="shared" si="18"/>
        <v>6.52106792252094E-3</v>
      </c>
    </row>
    <row r="88" spans="1:2">
      <c r="A88" s="66">
        <f t="shared" si="17"/>
        <v>40039</v>
      </c>
      <c r="B88" s="63">
        <f t="shared" si="18"/>
        <v>-1.34270107253468E-2</v>
      </c>
    </row>
    <row r="89" spans="1:2">
      <c r="A89" s="66">
        <f t="shared" si="17"/>
        <v>40042</v>
      </c>
      <c r="B89" s="63">
        <f t="shared" si="18"/>
        <v>-2.458221105038183E-2</v>
      </c>
    </row>
    <row r="90" spans="1:2">
      <c r="A90" s="66">
        <f t="shared" si="17"/>
        <v>40043</v>
      </c>
      <c r="B90" s="63">
        <f t="shared" si="18"/>
        <v>1.0296529289996581E-2</v>
      </c>
    </row>
    <row r="91" spans="1:2">
      <c r="A91" s="66">
        <f t="shared" si="17"/>
        <v>40044</v>
      </c>
      <c r="B91" s="63">
        <f t="shared" si="18"/>
        <v>-2.9346917053143518E-3</v>
      </c>
    </row>
    <row r="92" spans="1:2">
      <c r="A92" s="66">
        <f t="shared" si="17"/>
        <v>40045</v>
      </c>
      <c r="B92" s="63">
        <f t="shared" si="18"/>
        <v>1.5551607393399669E-2</v>
      </c>
    </row>
    <row r="93" spans="1:2">
      <c r="A93" s="66">
        <f t="shared" si="17"/>
        <v>40046</v>
      </c>
      <c r="B93" s="63">
        <f t="shared" si="18"/>
        <v>3.0765823093701572E-2</v>
      </c>
    </row>
    <row r="94" spans="1:2">
      <c r="A94" s="66">
        <f t="shared" si="17"/>
        <v>40049</v>
      </c>
      <c r="B94" s="63">
        <f t="shared" si="18"/>
        <v>1.19171626080814E-2</v>
      </c>
    </row>
    <row r="95" spans="1:2">
      <c r="A95" s="66">
        <f t="shared" si="17"/>
        <v>40050</v>
      </c>
      <c r="B95" s="63">
        <f t="shared" si="18"/>
        <v>8.2063390369788713E-3</v>
      </c>
    </row>
    <row r="96" spans="1:2">
      <c r="A96" s="66">
        <f t="shared" si="17"/>
        <v>40051</v>
      </c>
      <c r="B96" s="63">
        <f t="shared" si="18"/>
        <v>-4.3696494998464175E-3</v>
      </c>
    </row>
    <row r="97" spans="1:2">
      <c r="A97" s="66">
        <f t="shared" si="17"/>
        <v>40052</v>
      </c>
      <c r="B97" s="63">
        <f t="shared" si="18"/>
        <v>-4.0446053999785292E-3</v>
      </c>
    </row>
    <row r="98" spans="1:2">
      <c r="A98" s="66">
        <f t="shared" si="17"/>
        <v>40053</v>
      </c>
      <c r="B98" s="63">
        <f t="shared" si="18"/>
        <v>9.3713322916741948E-3</v>
      </c>
    </row>
    <row r="99" spans="1:2">
      <c r="A99" s="4"/>
    </row>
    <row r="100" spans="1:2">
      <c r="A100" s="4"/>
    </row>
    <row r="101" spans="1:2">
      <c r="A101" s="4"/>
    </row>
  </sheetData>
  <mergeCells count="6">
    <mergeCell ref="Z14:AF14"/>
    <mergeCell ref="Z25:AF25"/>
    <mergeCell ref="X16:X22"/>
    <mergeCell ref="X27:X33"/>
    <mergeCell ref="X25:Y26"/>
    <mergeCell ref="X14:Y1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F71E1-EDD2-4554-AE96-0FBDF8F4B519}">
  <sheetPr codeName="Sheet2"/>
  <dimension ref="A1:AE69"/>
  <sheetViews>
    <sheetView zoomScale="56" zoomScaleNormal="70" workbookViewId="0">
      <selection activeCell="L20" sqref="L20"/>
    </sheetView>
  </sheetViews>
  <sheetFormatPr baseColWidth="10" defaultColWidth="10" defaultRowHeight="14.4"/>
  <cols>
    <col min="1" max="1" width="15" style="39" customWidth="1"/>
    <col min="2" max="2" width="11.19921875" style="39" bestFit="1" customWidth="1"/>
    <col min="3" max="3" width="7.19921875" style="39" bestFit="1" customWidth="1"/>
    <col min="4" max="7" width="11" style="39" bestFit="1" customWidth="1"/>
    <col min="8" max="10" width="9.5" style="39" customWidth="1"/>
    <col min="11" max="11" width="8" style="39" bestFit="1" customWidth="1"/>
    <col min="12" max="12" width="29.69921875" style="39" customWidth="1"/>
    <col min="13" max="14" width="10" style="39"/>
    <col min="15" max="15" width="11" style="39" bestFit="1" customWidth="1"/>
    <col min="16" max="16384" width="10" style="39"/>
  </cols>
  <sheetData>
    <row r="1" spans="1:31" s="37" customFormat="1">
      <c r="D1" s="38" t="s">
        <v>0</v>
      </c>
      <c r="E1" s="38" t="s">
        <v>0</v>
      </c>
      <c r="F1" s="38" t="s">
        <v>0</v>
      </c>
      <c r="G1" s="38" t="s">
        <v>0</v>
      </c>
      <c r="H1" s="38"/>
    </row>
    <row r="2" spans="1:31">
      <c r="D2" s="40">
        <v>40074</v>
      </c>
      <c r="E2" s="40">
        <v>40074</v>
      </c>
      <c r="F2" s="40">
        <v>40074</v>
      </c>
      <c r="G2" s="40">
        <v>40074</v>
      </c>
      <c r="H2" s="40"/>
    </row>
    <row r="3" spans="1:31" s="37" customFormat="1" ht="38.25" customHeight="1">
      <c r="D3" s="41" t="s">
        <v>1</v>
      </c>
      <c r="E3" s="41" t="s">
        <v>1</v>
      </c>
      <c r="F3" s="41" t="s">
        <v>1</v>
      </c>
      <c r="G3" s="41" t="s">
        <v>1</v>
      </c>
      <c r="H3" s="41"/>
      <c r="L3" s="42" t="s">
        <v>52</v>
      </c>
    </row>
    <row r="4" spans="1:31" ht="16.2" thickBot="1">
      <c r="A4" s="40"/>
      <c r="B4" s="49"/>
      <c r="C4" s="49"/>
      <c r="D4" s="43">
        <v>2100</v>
      </c>
      <c r="E4" s="43">
        <v>1900</v>
      </c>
      <c r="F4" s="43">
        <v>2100</v>
      </c>
      <c r="G4" s="43">
        <v>1900</v>
      </c>
      <c r="H4" s="43"/>
      <c r="I4" s="59"/>
      <c r="J4" s="59"/>
    </row>
    <row r="5" spans="1:31" s="42" customFormat="1" ht="44.25" customHeight="1">
      <c r="A5" s="44" t="s">
        <v>4</v>
      </c>
      <c r="B5" s="42" t="s">
        <v>5</v>
      </c>
      <c r="C5" s="42" t="s">
        <v>6</v>
      </c>
      <c r="D5" s="42" t="s">
        <v>7</v>
      </c>
      <c r="E5" s="42" t="s">
        <v>7</v>
      </c>
      <c r="F5" s="42" t="s">
        <v>8</v>
      </c>
      <c r="G5" s="42" t="s">
        <v>8</v>
      </c>
      <c r="H5" s="42" t="s">
        <v>53</v>
      </c>
      <c r="I5" s="42" t="s">
        <v>92</v>
      </c>
      <c r="J5" s="42" t="s">
        <v>93</v>
      </c>
      <c r="K5" s="42" t="s">
        <v>55</v>
      </c>
      <c r="L5" s="42" t="s">
        <v>56</v>
      </c>
      <c r="M5" s="42" t="s">
        <v>57</v>
      </c>
      <c r="N5" s="42" t="s">
        <v>58</v>
      </c>
      <c r="O5" s="42" t="s">
        <v>9</v>
      </c>
      <c r="P5" s="45" t="s">
        <v>59</v>
      </c>
      <c r="Q5" s="46" t="s">
        <v>60</v>
      </c>
      <c r="R5" s="42" t="s">
        <v>61</v>
      </c>
      <c r="S5" s="42" t="s">
        <v>94</v>
      </c>
      <c r="T5" s="42" t="s">
        <v>95</v>
      </c>
      <c r="U5" s="42" t="s">
        <v>63</v>
      </c>
      <c r="V5" s="42" t="s">
        <v>64</v>
      </c>
      <c r="W5" s="42" t="s">
        <v>65</v>
      </c>
      <c r="X5" s="42" t="s">
        <v>66</v>
      </c>
      <c r="Y5" s="46" t="s">
        <v>67</v>
      </c>
      <c r="Z5" s="42" t="s">
        <v>68</v>
      </c>
      <c r="AA5" s="42" t="s">
        <v>69</v>
      </c>
      <c r="AB5" s="42" t="s">
        <v>70</v>
      </c>
      <c r="AC5" s="46" t="s">
        <v>71</v>
      </c>
      <c r="AE5" s="42" t="s">
        <v>96</v>
      </c>
    </row>
    <row r="6" spans="1:31" ht="15.6">
      <c r="A6" s="40">
        <v>39994</v>
      </c>
      <c r="B6" s="39">
        <v>2401.69</v>
      </c>
      <c r="C6" s="47">
        <v>1.099E-2</v>
      </c>
      <c r="D6" s="43">
        <v>41</v>
      </c>
      <c r="E6" s="43">
        <v>18.899999999999999</v>
      </c>
      <c r="F6" s="48">
        <v>0.3482412321814034</v>
      </c>
      <c r="G6" s="48">
        <v>0.39625048812149882</v>
      </c>
      <c r="H6" s="48">
        <f>($D$2-A6)/365</f>
        <v>0.21917808219178081</v>
      </c>
      <c r="I6" s="60" cm="1">
        <f t="array" ref="I6">BS_Vega("P",$B6,$D$4,$F6,$H6,$C6)</f>
        <v>293.88173901468622</v>
      </c>
      <c r="J6" s="60" cm="1">
        <f t="array" ref="J6">BS_Vega("P",$B6,$E$4,$G6,$H6,$C6)</f>
        <v>175.77223320499323</v>
      </c>
      <c r="K6" s="39" cm="1">
        <f t="array" ref="K6">1 + BS_DELTA("P",$B6,$D$4,$F6,$H6,$C6) - BS_DELTA("P",$B6,$E$4,$G6,$H6,$C6)</f>
        <v>0.90664598402163477</v>
      </c>
      <c r="L6" s="39" cm="1">
        <f t="array" ref="L6">BS_Gamma("P",$B6,$D$4,$F6,$H6,$C6) - BS_Gamma("P",$B6,$E$4,$G6,$H6,$C6)</f>
        <v>3.1664296507604047E-4</v>
      </c>
      <c r="M6" s="39" cm="1">
        <f t="array" ref="M6">BS_Theta("P",$B6,$D$4,$F6,$H6,$C6) - BS_Theta("P",$B6,$E$4,$G6,$H6,$C6)</f>
        <v>-71.871491489250843</v>
      </c>
      <c r="N6" s="39" cm="1">
        <f t="array" ref="N6">BS_Vega("P",$B6,$D$4,$F6,$H6,$C6) - BS_Vega("P",$B6,$E$4,$G6,$H6,$C6)</f>
        <v>118.10950580969299</v>
      </c>
      <c r="O6" s="49">
        <f>B6+D6-E6</f>
        <v>2423.79</v>
      </c>
      <c r="P6" s="50"/>
      <c r="Q6" s="51"/>
      <c r="Y6" s="51"/>
      <c r="AC6" s="51"/>
    </row>
    <row r="7" spans="1:31" ht="15.6">
      <c r="A7" s="40">
        <v>39995</v>
      </c>
      <c r="B7" s="39">
        <v>2449.73</v>
      </c>
      <c r="C7" s="47">
        <v>1.085E-2</v>
      </c>
      <c r="D7" s="43">
        <v>32.299999999999997</v>
      </c>
      <c r="E7" s="43">
        <v>14.7</v>
      </c>
      <c r="F7" s="48">
        <v>0.34714570447899196</v>
      </c>
      <c r="G7" s="48">
        <v>0.39555493626656396</v>
      </c>
      <c r="H7" s="48">
        <f t="shared" ref="H7:H49" si="0">($D$2-A7)/365</f>
        <v>0.21643835616438356</v>
      </c>
      <c r="I7" s="60" cm="1">
        <f t="array" ref="I7">BS_Vega("P",$B7,$D$4,$F7,$H7,$C7)</f>
        <v>262.24420114310959</v>
      </c>
      <c r="J7" s="60" cm="1">
        <f t="array" ref="J7">BS_Vega("P",$B7,$E$4,$G7,$H7,$C7)</f>
        <v>150.79377447637947</v>
      </c>
      <c r="K7" s="39" cm="1">
        <f t="array" ref="K7">1 + BS_DELTA("P",$B7,$D$4,$F7,$H7,$C7) - BS_DELTA("P",$B7,$E$4,$G7,$H7,$C7)</f>
        <v>0.92161023313863943</v>
      </c>
      <c r="L7" s="39" cm="1">
        <f t="array" ref="L7">BS_Gamma("P",$B7,$D$4,$F7,$H7,$C7) - BS_Gamma("P",$B7,$E$4,$G7,$H7,$C7)</f>
        <v>2.881001701992275E-4</v>
      </c>
      <c r="M7" s="39" cm="1">
        <f t="array" ref="M7">BS_Theta("P",$B7,$D$4,$F7,$H7,$C7) - BS_Theta("P",$B7,$E$4,$G7,$H7,$C7)</f>
        <v>-70.239714336869582</v>
      </c>
      <c r="N7" s="39" cm="1">
        <f t="array" ref="N7">BS_Vega("P",$B7,$D$4,$F7,$H7,$C7) - BS_Vega("P",$B7,$E$4,$G7,$H7,$C7)</f>
        <v>111.45042666673012</v>
      </c>
      <c r="O7" s="49">
        <f t="shared" ref="O7:O49" si="1">B7+D7-E7</f>
        <v>2467.3300000000004</v>
      </c>
      <c r="P7" s="52">
        <f>O7-O6</f>
        <v>43.540000000000418</v>
      </c>
      <c r="Q7" s="53">
        <f>P7</f>
        <v>43.540000000000418</v>
      </c>
      <c r="R7" s="39">
        <f>B7-B6</f>
        <v>48.039999999999964</v>
      </c>
      <c r="S7" s="54">
        <f>F7-F6</f>
        <v>-1.0955277024114474E-3</v>
      </c>
      <c r="T7" s="54">
        <f>G7-G6</f>
        <v>-6.955518549348616E-4</v>
      </c>
      <c r="U7" s="39">
        <f>(A7-A6)/365</f>
        <v>2.7397260273972603E-3</v>
      </c>
      <c r="V7" s="39">
        <f>R7*K6</f>
        <v>43.555273072399302</v>
      </c>
      <c r="W7" s="39">
        <f>0.5 * L6 * (R7 ^2) + M6*U7</f>
        <v>0.16847270771395492</v>
      </c>
      <c r="X7" s="39">
        <f>(I6*S7) - (J6*T7)</f>
        <v>-0.19969688347166367</v>
      </c>
      <c r="Y7" s="51">
        <f>V7+W7+X7</f>
        <v>43.524048896641588</v>
      </c>
      <c r="Z7" s="39">
        <f>V7</f>
        <v>43.555273072399302</v>
      </c>
      <c r="AA7" s="39">
        <f>W7</f>
        <v>0.16847270771395492</v>
      </c>
      <c r="AB7" s="39">
        <f>X7</f>
        <v>-0.19969688347166367</v>
      </c>
      <c r="AC7" s="51">
        <f>Y7</f>
        <v>43.524048896641588</v>
      </c>
      <c r="AE7" s="39">
        <v>0.14479408843525021</v>
      </c>
    </row>
    <row r="8" spans="1:31" ht="15.6">
      <c r="A8" s="40">
        <v>39996</v>
      </c>
      <c r="B8" s="39">
        <v>2369.65</v>
      </c>
      <c r="C8" s="47">
        <v>1.072E-2</v>
      </c>
      <c r="D8" s="43">
        <v>47</v>
      </c>
      <c r="E8" s="43">
        <v>22</v>
      </c>
      <c r="F8" s="48">
        <v>0.35220379957348413</v>
      </c>
      <c r="G8" s="48">
        <v>0.40205536443968515</v>
      </c>
      <c r="H8" s="48">
        <f t="shared" si="0"/>
        <v>0.21369863013698631</v>
      </c>
      <c r="I8" s="60" cm="1">
        <f t="array" ref="I8">BS_Vega("P",$B8,$D$4,$F8,$H8,$C8)</f>
        <v>307.75391467686472</v>
      </c>
      <c r="J8" s="60" cm="1">
        <f t="array" ref="J8">BS_Vega("P",$B8,$E$4,$G8,$H8,$C8)</f>
        <v>189.25756869610973</v>
      </c>
      <c r="K8" s="39" cm="1">
        <f t="array" ref="K8">1 + BS_DELTA("P",$B8,$D$4,$F8,$H8,$C8) - BS_DELTA("P",$B8,$E$4,$G8,$H8,$C8)</f>
        <v>0.89671223271009459</v>
      </c>
      <c r="L8" s="39" cm="1">
        <f t="array" ref="L8">BS_Gamma("P",$B8,$D$4,$F8,$H8,$C8) - BS_Gamma("P",$B8,$E$4,$G8,$H8,$C8)</f>
        <v>3.3590012105347685E-4</v>
      </c>
      <c r="M8" s="39" cm="1">
        <f t="array" ref="M8">BS_Theta("P",$B8,$D$4,$F8,$H8,$C8) - BS_Theta("P",$B8,$E$4,$G8,$H8,$C8)</f>
        <v>-72.682116080589481</v>
      </c>
      <c r="N8" s="39" cm="1">
        <f t="array" ref="N8">BS_Vega("P",$B8,$D$4,$F8,$H8,$C8) - BS_Vega("P",$B8,$E$4,$G8,$H8,$C8)</f>
        <v>118.496345980755</v>
      </c>
      <c r="O8" s="49">
        <f t="shared" si="1"/>
        <v>2394.65</v>
      </c>
      <c r="P8" s="52">
        <f t="shared" ref="P8:P48" si="2">O8-O7</f>
        <v>-72.680000000000291</v>
      </c>
      <c r="Q8" s="53">
        <f>Q7+P8</f>
        <v>-29.139999999999873</v>
      </c>
      <c r="R8" s="39">
        <f t="shared" ref="R8:R49" si="3">B8-B7</f>
        <v>-80.079999999999927</v>
      </c>
      <c r="S8" s="54">
        <f t="shared" ref="S8:T49" si="4">F8-F7</f>
        <v>5.0580950944921765E-3</v>
      </c>
      <c r="T8" s="54">
        <f t="shared" si="4"/>
        <v>6.5004281731211866E-3</v>
      </c>
      <c r="U8" s="39">
        <f t="shared" ref="U8:U49" si="5">(A8-A7)/365</f>
        <v>2.7397260273972603E-3</v>
      </c>
      <c r="V8" s="39">
        <f t="shared" ref="V8:V49" si="6">R8*K7</f>
        <v>-73.80254746974218</v>
      </c>
      <c r="W8" s="39">
        <f t="shared" ref="W8:W49" si="7">0.5 * L7 * (R8 ^2) + M7*U8</f>
        <v>0.73132773412167595</v>
      </c>
      <c r="X8" s="39">
        <f t="shared" ref="X8:X49" si="8">(I7*S8) - (J7*T8)</f>
        <v>0.34623200742344262</v>
      </c>
      <c r="Y8" s="51">
        <f t="shared" ref="Y8:Y49" si="9">V8+W8+X8</f>
        <v>-72.724987728197064</v>
      </c>
      <c r="Z8" s="39">
        <f>Z7+V8</f>
        <v>-30.247274397342878</v>
      </c>
      <c r="AA8" s="39">
        <f>AA7+W8</f>
        <v>0.8998004418356309</v>
      </c>
      <c r="AB8" s="39">
        <f>AB7+X8</f>
        <v>0.14653512395177895</v>
      </c>
      <c r="AC8" s="51">
        <f>AC7+Y8</f>
        <v>-29.200938831555476</v>
      </c>
      <c r="AE8" s="39">
        <v>1.4451206140628288</v>
      </c>
    </row>
    <row r="9" spans="1:31" ht="15.6">
      <c r="A9" s="40">
        <v>39997</v>
      </c>
      <c r="B9" s="39">
        <v>2376.48</v>
      </c>
      <c r="C9" s="47">
        <v>1.0589999999999999E-2</v>
      </c>
      <c r="D9" s="43">
        <v>47.3</v>
      </c>
      <c r="E9" s="43">
        <v>21.7</v>
      </c>
      <c r="F9" s="48">
        <v>0.35984708446658598</v>
      </c>
      <c r="G9" s="48">
        <v>0.40651939247895064</v>
      </c>
      <c r="H9" s="48">
        <f t="shared" si="0"/>
        <v>0.21095890410958903</v>
      </c>
      <c r="I9" s="60" cm="1">
        <f t="array" ref="I9">BS_Vega("P",$B9,$D$4,$F9,$H9,$C9)</f>
        <v>304.84775025110781</v>
      </c>
      <c r="J9" s="60" cm="1">
        <f t="array" ref="J9">BS_Vega("P",$B9,$E$4,$G9,$H9,$C9)</f>
        <v>186.13971813193447</v>
      </c>
      <c r="K9" s="39" cm="1">
        <f t="array" ref="K9">1 + BS_DELTA("P",$B9,$D$4,$F9,$H9,$C9) - BS_DELTA("P",$B9,$E$4,$G9,$H9,$C9)</f>
        <v>0.89695909515596139</v>
      </c>
      <c r="L9" s="39" cm="1">
        <f t="array" ref="L9">BS_Gamma("P",$B9,$D$4,$F9,$H9,$C9) - BS_Gamma("P",$B9,$E$4,$G9,$H9,$C9)</f>
        <v>3.2672906396214E-4</v>
      </c>
      <c r="M9" s="39" cm="1">
        <f t="array" ref="M9">BS_Theta("P",$B9,$D$4,$F9,$H9,$C9) - BS_Theta("P",$B9,$E$4,$G9,$H9,$C9)</f>
        <v>-77.789223370712278</v>
      </c>
      <c r="N9" s="39" cm="1">
        <f t="array" ref="N9">BS_Vega("P",$B9,$D$4,$F9,$H9,$C9) - BS_Vega("P",$B9,$E$4,$G9,$H9,$C9)</f>
        <v>118.70803211917334</v>
      </c>
      <c r="O9" s="49">
        <f t="shared" si="1"/>
        <v>2402.0800000000004</v>
      </c>
      <c r="P9" s="52">
        <f t="shared" si="2"/>
        <v>7.430000000000291</v>
      </c>
      <c r="Q9" s="53">
        <f t="shared" ref="Q9:Q49" si="10">Q8+P9</f>
        <v>-21.709999999999582</v>
      </c>
      <c r="R9" s="39">
        <f t="shared" si="3"/>
        <v>6.8299999999999272</v>
      </c>
      <c r="S9" s="54">
        <f t="shared" si="4"/>
        <v>7.6432848931018427E-3</v>
      </c>
      <c r="T9" s="54">
        <f t="shared" si="4"/>
        <v>4.4640280392654885E-3</v>
      </c>
      <c r="U9" s="39">
        <f t="shared" si="5"/>
        <v>2.7397260273972603E-3</v>
      </c>
      <c r="V9" s="39">
        <f t="shared" si="6"/>
        <v>6.1245445494098805</v>
      </c>
      <c r="W9" s="39">
        <f>0.5 * L8 * (R9 ^2) + M8*U9</f>
        <v>-0.19129439957379435</v>
      </c>
      <c r="X9" s="39">
        <f t="shared" si="8"/>
        <v>1.5073997535399855</v>
      </c>
      <c r="Y9" s="51">
        <f t="shared" si="9"/>
        <v>7.4406499033760714</v>
      </c>
      <c r="Z9" s="39">
        <f t="shared" ref="Z9:AC24" si="11">Z8+V9</f>
        <v>-24.122729847932998</v>
      </c>
      <c r="AA9" s="39">
        <f t="shared" si="11"/>
        <v>0.70850604226183655</v>
      </c>
      <c r="AB9" s="39">
        <f t="shared" si="11"/>
        <v>1.6539348774917644</v>
      </c>
      <c r="AC9" s="51">
        <f t="shared" si="11"/>
        <v>-21.760288928179406</v>
      </c>
      <c r="AE9" s="39">
        <v>0.78266488475618989</v>
      </c>
    </row>
    <row r="10" spans="1:31" ht="15.6">
      <c r="A10" s="40">
        <v>40000</v>
      </c>
      <c r="B10" s="39">
        <v>2343.88</v>
      </c>
      <c r="C10" s="47">
        <v>1.048E-2</v>
      </c>
      <c r="D10" s="43">
        <v>52.5</v>
      </c>
      <c r="E10" s="43">
        <v>24.4</v>
      </c>
      <c r="F10" s="48">
        <v>0.36151461326878492</v>
      </c>
      <c r="G10" s="48">
        <v>0.41123494397182786</v>
      </c>
      <c r="H10" s="48">
        <f t="shared" si="0"/>
        <v>0.20273972602739726</v>
      </c>
      <c r="I10" s="60" cm="1">
        <f t="array" ref="I10">BS_Vega("P",$B10,$D$4,$F10,$H10,$C10)</f>
        <v>313.15875157508253</v>
      </c>
      <c r="J10" s="60" cm="1">
        <f t="array" ref="J10">BS_Vega("P",$B10,$E$4,$G10,$H10,$C10)</f>
        <v>195.67850160020484</v>
      </c>
      <c r="K10" s="39" cm="1">
        <f t="array" ref="K10">1 + BS_DELTA("P",$B10,$D$4,$F10,$H10,$C10) - BS_DELTA("P",$B10,$E$4,$G10,$H10,$C10)</f>
        <v>0.88704687527973092</v>
      </c>
      <c r="L10" s="39" cm="1">
        <f t="array" ref="L10">BS_Gamma("P",$B10,$D$4,$F10,$H10,$C10) - BS_Gamma("P",$B10,$E$4,$G10,$H10,$C10)</f>
        <v>3.5051837682010959E-4</v>
      </c>
      <c r="M10" s="39" cm="1">
        <f t="array" ref="M10">BS_Theta("P",$B10,$D$4,$F10,$H10,$C10) - BS_Theta("P",$B10,$E$4,$G10,$H10,$C10)</f>
        <v>-77.67887924180738</v>
      </c>
      <c r="N10" s="39" cm="1">
        <f t="array" ref="N10">BS_Vega("P",$B10,$D$4,$F10,$H10,$C10) - BS_Vega("P",$B10,$E$4,$G10,$H10,$C10)</f>
        <v>117.48024997487769</v>
      </c>
      <c r="O10" s="49">
        <f t="shared" si="1"/>
        <v>2371.98</v>
      </c>
      <c r="P10" s="52">
        <f t="shared" si="2"/>
        <v>-30.100000000000364</v>
      </c>
      <c r="Q10" s="53">
        <f t="shared" si="10"/>
        <v>-51.809999999999945</v>
      </c>
      <c r="R10" s="39">
        <f t="shared" si="3"/>
        <v>-32.599999999999909</v>
      </c>
      <c r="S10" s="54">
        <f t="shared" si="4"/>
        <v>1.6675288021989476E-3</v>
      </c>
      <c r="T10" s="54">
        <f t="shared" si="4"/>
        <v>4.7155514928772235E-3</v>
      </c>
      <c r="U10" s="39">
        <f t="shared" si="5"/>
        <v>8.21917808219178E-3</v>
      </c>
      <c r="V10" s="39">
        <f t="shared" si="6"/>
        <v>-29.240866502084259</v>
      </c>
      <c r="W10" s="39">
        <f>0.5 * L9 * (R10 ^2) + M9*U10</f>
        <v>-0.46574618975107801</v>
      </c>
      <c r="X10" s="39">
        <f t="shared" si="8"/>
        <v>-0.36940902189151548</v>
      </c>
      <c r="Y10" s="51">
        <f t="shared" si="9"/>
        <v>-30.076021713726853</v>
      </c>
      <c r="Z10" s="39">
        <f t="shared" si="11"/>
        <v>-53.363596350017261</v>
      </c>
      <c r="AA10" s="39">
        <f t="shared" si="11"/>
        <v>0.24275985251075854</v>
      </c>
      <c r="AB10" s="39">
        <f t="shared" si="11"/>
        <v>1.2845258556002488</v>
      </c>
      <c r="AC10" s="51">
        <f t="shared" si="11"/>
        <v>-51.836310641906259</v>
      </c>
      <c r="AE10" s="39">
        <v>-0.93116212689460776</v>
      </c>
    </row>
    <row r="11" spans="1:31" ht="15.6">
      <c r="A11" s="40">
        <v>40001</v>
      </c>
      <c r="B11" s="39">
        <v>2320.9</v>
      </c>
      <c r="C11" s="47">
        <v>1.044E-2</v>
      </c>
      <c r="D11" s="43">
        <v>58.3</v>
      </c>
      <c r="E11" s="43">
        <v>26.7</v>
      </c>
      <c r="F11" s="48">
        <v>0.36551387667849183</v>
      </c>
      <c r="G11" s="48">
        <v>0.4125503671490432</v>
      </c>
      <c r="H11" s="48">
        <f t="shared" si="0"/>
        <v>0.2</v>
      </c>
      <c r="I11" s="60" cm="1">
        <f t="array" ref="I11">BS_Vega("P",$B11,$D$4,$F11,$H11,$C11)</f>
        <v>322.65099470249447</v>
      </c>
      <c r="J11" s="60" cm="1">
        <f t="array" ref="J11">BS_Vega("P",$B11,$E$4,$G11,$H11,$C11)</f>
        <v>204.42861711187086</v>
      </c>
      <c r="K11" s="39" cm="1">
        <f t="array" ref="K11">1 + BS_DELTA("P",$B11,$D$4,$F11,$H11,$C11) - BS_DELTA("P",$B11,$E$4,$G11,$H11,$C11)</f>
        <v>0.87741183313225879</v>
      </c>
      <c r="L11" s="39" cm="1">
        <f t="array" ref="L11">BS_Gamma("P",$B11,$D$4,$F11,$H11,$C11) - BS_Gamma("P",$B11,$E$4,$G11,$H11,$C11)</f>
        <v>3.594198478812757E-4</v>
      </c>
      <c r="M11" s="39" cm="1">
        <f t="array" ref="M11">BS_Theta("P",$B11,$D$4,$F11,$H11,$C11) - BS_Theta("P",$B11,$E$4,$G11,$H11,$C11)</f>
        <v>-80.690547796030899</v>
      </c>
      <c r="N11" s="39" cm="1">
        <f t="array" ref="N11">BS_Vega("P",$B11,$D$4,$F11,$H11,$C11) - BS_Vega("P",$B11,$E$4,$G11,$H11,$C11)</f>
        <v>118.22237759062361</v>
      </c>
      <c r="O11" s="49">
        <f t="shared" si="1"/>
        <v>2352.5000000000005</v>
      </c>
      <c r="P11" s="52">
        <f t="shared" si="2"/>
        <v>-19.479999999999563</v>
      </c>
      <c r="Q11" s="53">
        <f t="shared" si="10"/>
        <v>-71.289999999999509</v>
      </c>
      <c r="R11" s="39">
        <f t="shared" si="3"/>
        <v>-22.980000000000018</v>
      </c>
      <c r="S11" s="54">
        <f t="shared" si="4"/>
        <v>3.9992634097069102E-3</v>
      </c>
      <c r="T11" s="54">
        <f t="shared" si="4"/>
        <v>1.3154231772153357E-3</v>
      </c>
      <c r="U11" s="39">
        <f t="shared" si="5"/>
        <v>2.7397260273972603E-3</v>
      </c>
      <c r="V11" s="39">
        <f t="shared" si="6"/>
        <v>-20.384337193928232</v>
      </c>
      <c r="W11" s="39">
        <f t="shared" si="7"/>
        <v>-0.12026790491857119</v>
      </c>
      <c r="X11" s="39">
        <f t="shared" si="8"/>
        <v>0.99500430031604625</v>
      </c>
      <c r="Y11" s="51">
        <f t="shared" si="9"/>
        <v>-19.509600798530755</v>
      </c>
      <c r="Z11" s="39">
        <f t="shared" si="11"/>
        <v>-73.747933543945493</v>
      </c>
      <c r="AA11" s="39">
        <f t="shared" si="11"/>
        <v>0.12249194759218736</v>
      </c>
      <c r="AB11" s="39">
        <f t="shared" si="11"/>
        <v>2.2795301559162953</v>
      </c>
      <c r="AC11" s="51">
        <f t="shared" si="11"/>
        <v>-71.345911440437021</v>
      </c>
      <c r="AE11" s="39">
        <v>-1.4743838820453721</v>
      </c>
    </row>
    <row r="12" spans="1:31" ht="15.6">
      <c r="A12" s="40">
        <v>40002</v>
      </c>
      <c r="B12" s="39">
        <v>2291.33</v>
      </c>
      <c r="C12" s="47">
        <v>1.0289999999999999E-2</v>
      </c>
      <c r="D12" s="43">
        <v>65.900000000000006</v>
      </c>
      <c r="E12" s="43">
        <v>30.1</v>
      </c>
      <c r="F12" s="48">
        <v>0.36833843505045988</v>
      </c>
      <c r="G12" s="48">
        <v>0.41403093372453581</v>
      </c>
      <c r="H12" s="48">
        <f t="shared" si="0"/>
        <v>0.19726027397260273</v>
      </c>
      <c r="I12" s="60" cm="1">
        <f t="array" ref="I12">BS_Vega("P",$B12,$D$4,$F12,$H12,$C12)</f>
        <v>333.49983711113225</v>
      </c>
      <c r="J12" s="60" cm="1">
        <f t="array" ref="J12">BS_Vega("P",$B12,$E$4,$G12,$H12,$C12)</f>
        <v>216.48901463223424</v>
      </c>
      <c r="K12" s="39" cm="1">
        <f t="array" ref="K12">1 + BS_DELTA("P",$B12,$D$4,$F12,$H12,$C12) - BS_DELTA("P",$B12,$E$4,$G12,$H12,$C12)</f>
        <v>0.86579070781594203</v>
      </c>
      <c r="L12" s="39" cm="1">
        <f t="array" ref="L12">BS_Gamma("P",$B12,$D$4,$F12,$H12,$C12) - BS_Gamma("P",$B12,$E$4,$G12,$H12,$C12)</f>
        <v>3.6936604770270809E-4</v>
      </c>
      <c r="M12" s="39" cm="1">
        <f t="array" ref="M12">BS_Theta("P",$B12,$D$4,$F12,$H12,$C12) - BS_Theta("P",$B12,$E$4,$G12,$H12,$C12)</f>
        <v>-80.639451847437812</v>
      </c>
      <c r="N12" s="39" cm="1">
        <f t="array" ref="N12">BS_Vega("P",$B12,$D$4,$F12,$H12,$C12) - BS_Vega("P",$B12,$E$4,$G12,$H12,$C12)</f>
        <v>117.01082247889801</v>
      </c>
      <c r="O12" s="49">
        <f t="shared" si="1"/>
        <v>2327.13</v>
      </c>
      <c r="P12" s="52">
        <f t="shared" si="2"/>
        <v>-25.370000000000346</v>
      </c>
      <c r="Q12" s="53">
        <f t="shared" si="10"/>
        <v>-96.659999999999854</v>
      </c>
      <c r="R12" s="39">
        <f t="shared" si="3"/>
        <v>-29.570000000000164</v>
      </c>
      <c r="S12" s="54">
        <f t="shared" si="4"/>
        <v>2.8245583719680445E-3</v>
      </c>
      <c r="T12" s="54">
        <f t="shared" si="4"/>
        <v>1.4805665754926145E-3</v>
      </c>
      <c r="U12" s="39">
        <f t="shared" si="5"/>
        <v>2.7397260273972603E-3</v>
      </c>
      <c r="V12" s="39">
        <f t="shared" si="6"/>
        <v>-25.945067905721036</v>
      </c>
      <c r="W12" s="39">
        <f t="shared" si="7"/>
        <v>-6.3934350087884534E-2</v>
      </c>
      <c r="X12" s="39">
        <f t="shared" si="8"/>
        <v>0.60867639074073443</v>
      </c>
      <c r="Y12" s="51">
        <f t="shared" si="9"/>
        <v>-25.400325865068186</v>
      </c>
      <c r="Z12" s="39">
        <f t="shared" si="11"/>
        <v>-99.693001449666525</v>
      </c>
      <c r="AA12" s="39">
        <f t="shared" si="11"/>
        <v>5.8557597504302825E-2</v>
      </c>
      <c r="AB12" s="39">
        <f t="shared" si="11"/>
        <v>2.8882065466570297</v>
      </c>
      <c r="AC12" s="51">
        <f t="shared" si="11"/>
        <v>-96.746237305505204</v>
      </c>
      <c r="AE12" s="39">
        <v>-1.906321226244734</v>
      </c>
    </row>
    <row r="13" spans="1:31" ht="15.6">
      <c r="A13" s="40">
        <v>40003</v>
      </c>
      <c r="B13" s="39">
        <v>2313.87</v>
      </c>
      <c r="C13" s="47">
        <v>1.018E-2</v>
      </c>
      <c r="D13" s="43">
        <v>55.5</v>
      </c>
      <c r="E13" s="43">
        <v>24.5</v>
      </c>
      <c r="F13" s="48">
        <v>0.35629265878330152</v>
      </c>
      <c r="G13" s="48">
        <v>0.40302083664585592</v>
      </c>
      <c r="H13" s="48">
        <f t="shared" si="0"/>
        <v>0.19452054794520549</v>
      </c>
      <c r="I13" s="60" cm="1">
        <f t="array" ref="I13">BS_Vega("P",$B13,$D$4,$F13,$H13,$C13)</f>
        <v>316.79315378851464</v>
      </c>
      <c r="J13" s="60" cm="1">
        <f t="array" ref="J13">BS_Vega("P",$B13,$E$4,$G13,$H13,$C13)</f>
        <v>196.1071113998623</v>
      </c>
      <c r="K13" s="39" cm="1">
        <f t="array" ref="K13">1 + BS_DELTA("P",$B13,$D$4,$F13,$H13,$C13) - BS_DELTA("P",$B13,$E$4,$G13,$H13,$C13)</f>
        <v>0.87402682468554793</v>
      </c>
      <c r="L13" s="39" cm="1">
        <f t="array" ref="L13">BS_Gamma("P",$B13,$D$4,$F13,$H13,$C13) - BS_Gamma("P",$B13,$E$4,$G13,$H13,$C13)</f>
        <v>3.8651868131488892E-4</v>
      </c>
      <c r="M13" s="39" cm="1">
        <f t="array" ref="M13">BS_Theta("P",$B13,$D$4,$F13,$H13,$C13) - BS_Theta("P",$B13,$E$4,$G13,$H13,$C13)</f>
        <v>-83.689458869178111</v>
      </c>
      <c r="N13" s="39" cm="1">
        <f t="array" ref="N13">BS_Vega("P",$B13,$D$4,$F13,$H13,$C13) - BS_Vega("P",$B13,$E$4,$G13,$H13,$C13)</f>
        <v>120.68604238865234</v>
      </c>
      <c r="O13" s="49">
        <f t="shared" si="1"/>
        <v>2344.87</v>
      </c>
      <c r="P13" s="52">
        <f t="shared" si="2"/>
        <v>17.739999999999782</v>
      </c>
      <c r="Q13" s="53">
        <f t="shared" si="10"/>
        <v>-78.920000000000073</v>
      </c>
      <c r="R13" s="39">
        <f t="shared" si="3"/>
        <v>22.539999999999964</v>
      </c>
      <c r="S13" s="54">
        <f t="shared" si="4"/>
        <v>-1.2045776267158359E-2</v>
      </c>
      <c r="T13" s="54">
        <f t="shared" si="4"/>
        <v>-1.1010097078679892E-2</v>
      </c>
      <c r="U13" s="39">
        <f t="shared" si="5"/>
        <v>2.7397260273972603E-3</v>
      </c>
      <c r="V13" s="39">
        <f t="shared" si="6"/>
        <v>19.514922554171303</v>
      </c>
      <c r="W13" s="39">
        <f t="shared" si="7"/>
        <v>-0.12710149930095516</v>
      </c>
      <c r="X13" s="39">
        <f t="shared" si="8"/>
        <v>-1.6336993554058048</v>
      </c>
      <c r="Y13" s="51">
        <f t="shared" si="9"/>
        <v>17.754121699464541</v>
      </c>
      <c r="Z13" s="39">
        <f t="shared" si="11"/>
        <v>-80.178078895495219</v>
      </c>
      <c r="AA13" s="39">
        <f t="shared" si="11"/>
        <v>-6.8543901796652332E-2</v>
      </c>
      <c r="AB13" s="39">
        <f t="shared" si="11"/>
        <v>1.2545071912512249</v>
      </c>
      <c r="AC13" s="51">
        <f t="shared" si="11"/>
        <v>-78.99211560604067</v>
      </c>
      <c r="AE13" s="39">
        <v>-2.5183083721088204</v>
      </c>
    </row>
    <row r="14" spans="1:31" ht="15.6">
      <c r="A14" s="40">
        <v>40004</v>
      </c>
      <c r="B14" s="39">
        <v>2281.4699999999998</v>
      </c>
      <c r="C14" s="47">
        <v>1.0069999999999999E-2</v>
      </c>
      <c r="D14" s="43">
        <v>61.1</v>
      </c>
      <c r="E14" s="43">
        <v>27</v>
      </c>
      <c r="F14" s="48">
        <v>0.35075921342855004</v>
      </c>
      <c r="G14" s="48">
        <v>0.39897248787548839</v>
      </c>
      <c r="H14" s="48">
        <f t="shared" si="0"/>
        <v>0.19178082191780821</v>
      </c>
      <c r="I14" s="60" cm="1">
        <f t="array" ref="I14">BS_Vega("P",$B14,$D$4,$F14,$H14,$C14)</f>
        <v>327.06072985449225</v>
      </c>
      <c r="J14" s="60" cm="1">
        <f t="array" ref="J14">BS_Vega("P",$B14,$E$4,$G14,$H14,$C14)</f>
        <v>206.79599751534769</v>
      </c>
      <c r="K14" s="39" cm="1">
        <f t="array" ref="K14">1 + BS_DELTA("P",$B14,$D$4,$F14,$H14,$C14) - BS_DELTA("P",$B14,$E$4,$G14,$H14,$C14)</f>
        <v>0.86128926086126534</v>
      </c>
      <c r="L14" s="39" cm="1">
        <f t="array" ref="L14">BS_Gamma("P",$B14,$D$4,$F14,$H14,$C14) - BS_Gamma("P",$B14,$E$4,$G14,$H14,$C14)</f>
        <v>4.1484554004101034E-4</v>
      </c>
      <c r="M14" s="39" cm="1">
        <f t="array" ref="M14">BS_Theta("P",$B14,$D$4,$F14,$H14,$C14) - BS_Theta("P",$B14,$E$4,$G14,$H14,$C14)</f>
        <v>-80.455406010642974</v>
      </c>
      <c r="N14" s="39" cm="1">
        <f t="array" ref="N14">BS_Vega("P",$B14,$D$4,$F14,$H14,$C14) - BS_Vega("P",$B14,$E$4,$G14,$H14,$C14)</f>
        <v>120.26473233914456</v>
      </c>
      <c r="O14" s="49">
        <f t="shared" si="1"/>
        <v>2315.5699999999997</v>
      </c>
      <c r="P14" s="52">
        <f t="shared" si="2"/>
        <v>-29.300000000000182</v>
      </c>
      <c r="Q14" s="53">
        <f t="shared" si="10"/>
        <v>-108.22000000000025</v>
      </c>
      <c r="R14" s="39">
        <f t="shared" si="3"/>
        <v>-32.400000000000091</v>
      </c>
      <c r="S14" s="54">
        <f t="shared" si="4"/>
        <v>-5.5334453547514761E-3</v>
      </c>
      <c r="T14" s="54">
        <f t="shared" si="4"/>
        <v>-4.0483487703675269E-3</v>
      </c>
      <c r="U14" s="39">
        <f t="shared" si="5"/>
        <v>2.7397260273972603E-3</v>
      </c>
      <c r="V14" s="39">
        <f t="shared" si="6"/>
        <v>-28.318469119811834</v>
      </c>
      <c r="W14" s="39">
        <f t="shared" si="7"/>
        <v>-2.6410263234119713E-2</v>
      </c>
      <c r="X14" s="39">
        <f t="shared" si="8"/>
        <v>-0.9590476219521662</v>
      </c>
      <c r="Y14" s="51">
        <f t="shared" si="9"/>
        <v>-29.303927004998119</v>
      </c>
      <c r="Z14" s="39">
        <f t="shared" si="11"/>
        <v>-108.49654801530706</v>
      </c>
      <c r="AA14" s="39">
        <f t="shared" si="11"/>
        <v>-9.4954165030772045E-2</v>
      </c>
      <c r="AB14" s="39">
        <f t="shared" si="11"/>
        <v>0.2954595692990587</v>
      </c>
      <c r="AC14" s="51">
        <f t="shared" si="11"/>
        <v>-108.29604261103879</v>
      </c>
      <c r="AE14" s="39">
        <v>-2.848068956823079</v>
      </c>
    </row>
    <row r="15" spans="1:31" ht="15.6">
      <c r="A15" s="40">
        <v>40007</v>
      </c>
      <c r="B15" s="39">
        <v>2345.2199999999998</v>
      </c>
      <c r="C15" s="47">
        <v>9.9600000000000001E-3</v>
      </c>
      <c r="D15" s="43">
        <v>44.5</v>
      </c>
      <c r="E15" s="43">
        <v>18.7</v>
      </c>
      <c r="F15" s="48">
        <v>0.35301288918090989</v>
      </c>
      <c r="G15" s="48">
        <v>0.40025930756432559</v>
      </c>
      <c r="H15" s="48">
        <f t="shared" si="0"/>
        <v>0.18356164383561643</v>
      </c>
      <c r="I15" s="60" cm="1">
        <f t="array" ref="I15">BS_Vega("P",$B15,$D$4,$F15,$H15,$C15)</f>
        <v>286.88754806501316</v>
      </c>
      <c r="J15" s="60" cm="1">
        <f t="array" ref="J15">BS_Vega("P",$B15,$E$4,$G15,$H15,$C15)</f>
        <v>166.84122066013452</v>
      </c>
      <c r="K15" s="39" cm="1">
        <f t="array" ref="K15">1 + BS_DELTA("P",$B15,$D$4,$F15,$H15,$C15) - BS_DELTA("P",$B15,$E$4,$G15,$H15,$C15)</f>
        <v>0.88604452774775311</v>
      </c>
      <c r="L15" s="39" cm="1">
        <f t="array" ref="L15">BS_Gamma("P",$B15,$D$4,$F15,$H15,$C15) - BS_Gamma("P",$B15,$E$4,$G15,$H15,$C15)</f>
        <v>3.9208627229179142E-4</v>
      </c>
      <c r="M15" s="39" cm="1">
        <f t="array" ref="M15">BS_Theta("P",$B15,$D$4,$F15,$H15,$C15) - BS_Theta("P",$B15,$E$4,$G15,$H15,$C15)</f>
        <v>-91.042159728210095</v>
      </c>
      <c r="N15" s="39" cm="1">
        <f t="array" ref="N15">BS_Vega("P",$B15,$D$4,$F15,$H15,$C15) - BS_Vega("P",$B15,$E$4,$G15,$H15,$C15)</f>
        <v>120.04632740487864</v>
      </c>
      <c r="O15" s="49">
        <f t="shared" si="1"/>
        <v>2371.02</v>
      </c>
      <c r="P15" s="52">
        <f t="shared" si="2"/>
        <v>55.450000000000273</v>
      </c>
      <c r="Q15" s="53">
        <f t="shared" si="10"/>
        <v>-52.769999999999982</v>
      </c>
      <c r="R15" s="39">
        <f t="shared" si="3"/>
        <v>63.75</v>
      </c>
      <c r="S15" s="54">
        <f t="shared" si="4"/>
        <v>2.2536757523598516E-3</v>
      </c>
      <c r="T15" s="54">
        <f t="shared" si="4"/>
        <v>1.2868196888372041E-3</v>
      </c>
      <c r="U15" s="39">
        <f t="shared" si="5"/>
        <v>8.21917808219178E-3</v>
      </c>
      <c r="V15" s="39">
        <f t="shared" si="6"/>
        <v>54.907190379905664</v>
      </c>
      <c r="W15" s="39">
        <f t="shared" si="7"/>
        <v>0.18170179160994171</v>
      </c>
      <c r="X15" s="39">
        <f t="shared" si="8"/>
        <v>0.47097967524670609</v>
      </c>
      <c r="Y15" s="51">
        <f t="shared" si="9"/>
        <v>55.559871846762306</v>
      </c>
      <c r="Z15" s="39">
        <f t="shared" si="11"/>
        <v>-53.589357635401392</v>
      </c>
      <c r="AA15" s="39">
        <f t="shared" si="11"/>
        <v>8.6747626579169665E-2</v>
      </c>
      <c r="AB15" s="39">
        <f t="shared" si="11"/>
        <v>0.76643924454576484</v>
      </c>
      <c r="AC15" s="51">
        <f t="shared" si="11"/>
        <v>-52.73617076427648</v>
      </c>
      <c r="AE15" s="39">
        <v>-3.3532244561769882</v>
      </c>
    </row>
    <row r="16" spans="1:31" ht="15.6">
      <c r="A16" s="40">
        <v>40008</v>
      </c>
      <c r="B16" s="39">
        <v>2370.71</v>
      </c>
      <c r="C16" s="47">
        <v>9.8499999999999994E-3</v>
      </c>
      <c r="D16" s="43">
        <v>37.1</v>
      </c>
      <c r="E16" s="43">
        <v>15.1</v>
      </c>
      <c r="F16" s="48">
        <v>0.34670622416263752</v>
      </c>
      <c r="G16" s="48">
        <v>0.39415453916065468</v>
      </c>
      <c r="H16" s="48">
        <f t="shared" si="0"/>
        <v>0.18082191780821918</v>
      </c>
      <c r="I16" s="60" cm="1">
        <f t="array" ref="I16">BS_Vega("P",$B16,$D$4,$F16,$H16,$C16)</f>
        <v>266.25163929269019</v>
      </c>
      <c r="J16" s="60" cm="1">
        <f t="array" ref="J16">BS_Vega("P",$B16,$E$4,$G16,$H16,$C16)</f>
        <v>147.78844473706729</v>
      </c>
      <c r="K16" s="39" cm="1">
        <f t="array" ref="K16">1 + BS_DELTA("P",$B16,$D$4,$F16,$H16,$C16) - BS_DELTA("P",$B16,$E$4,$G16,$H16,$C16)</f>
        <v>0.89665749910032289</v>
      </c>
      <c r="L16" s="39" cm="1">
        <f t="array" ref="L16">BS_Gamma("P",$B16,$D$4,$F16,$H16,$C16) - BS_Gamma("P",$B16,$E$4,$G16,$H16,$C16)</f>
        <v>3.8670481040915794E-4</v>
      </c>
      <c r="M16" s="39" cm="1">
        <f t="array" ref="M16">BS_Theta("P",$B16,$D$4,$F16,$H16,$C16) - BS_Theta("P",$B16,$E$4,$G16,$H16,$C16)</f>
        <v>-91.550092093789175</v>
      </c>
      <c r="N16" s="39" cm="1">
        <f t="array" ref="N16">BS_Vega("P",$B16,$D$4,$F16,$H16,$C16) - BS_Vega("P",$B16,$E$4,$G16,$H16,$C16)</f>
        <v>118.46319455562289</v>
      </c>
      <c r="O16" s="49">
        <f t="shared" si="1"/>
        <v>2392.71</v>
      </c>
      <c r="P16" s="52">
        <f t="shared" si="2"/>
        <v>21.690000000000055</v>
      </c>
      <c r="Q16" s="53">
        <f t="shared" si="10"/>
        <v>-31.079999999999927</v>
      </c>
      <c r="R16" s="39">
        <f t="shared" si="3"/>
        <v>25.490000000000236</v>
      </c>
      <c r="S16" s="54">
        <f t="shared" si="4"/>
        <v>-6.3066650182723727E-3</v>
      </c>
      <c r="T16" s="54">
        <f t="shared" si="4"/>
        <v>-6.1047684036709127E-3</v>
      </c>
      <c r="U16" s="39">
        <f t="shared" si="5"/>
        <v>2.7397260273972603E-3</v>
      </c>
      <c r="V16" s="39">
        <f t="shared" si="6"/>
        <v>22.585275012290435</v>
      </c>
      <c r="W16" s="39">
        <f t="shared" si="7"/>
        <v>-0.12205348771408564</v>
      </c>
      <c r="X16" s="39">
        <f t="shared" si="8"/>
        <v>-0.79077665124367669</v>
      </c>
      <c r="Y16" s="51">
        <f t="shared" si="9"/>
        <v>21.672444873332672</v>
      </c>
      <c r="Z16" s="39">
        <f t="shared" si="11"/>
        <v>-31.004082623110957</v>
      </c>
      <c r="AA16" s="39">
        <f t="shared" si="11"/>
        <v>-3.5305861134915975E-2</v>
      </c>
      <c r="AB16" s="39">
        <f t="shared" si="11"/>
        <v>-2.4337406697911845E-2</v>
      </c>
      <c r="AC16" s="51">
        <f t="shared" si="11"/>
        <v>-31.063725890943807</v>
      </c>
      <c r="AE16" s="39">
        <v>-3.8330599002560848</v>
      </c>
    </row>
    <row r="17" spans="1:31" ht="15.6">
      <c r="A17" s="40">
        <v>40009</v>
      </c>
      <c r="B17" s="39">
        <v>2451.02</v>
      </c>
      <c r="C17" s="47">
        <v>9.7900000000000001E-3</v>
      </c>
      <c r="D17" s="43">
        <v>23.7</v>
      </c>
      <c r="E17" s="43">
        <v>9.5</v>
      </c>
      <c r="F17" s="48">
        <v>0.34448573616434469</v>
      </c>
      <c r="G17" s="48">
        <v>0.39386274662255455</v>
      </c>
      <c r="H17" s="48">
        <f t="shared" si="0"/>
        <v>0.17808219178082191</v>
      </c>
      <c r="I17" s="60" cm="1">
        <f t="array" ref="I17">BS_Vega("P",$B17,$D$4,$F17,$H17,$C17)</f>
        <v>213.51272976424167</v>
      </c>
      <c r="J17" s="60" cm="1">
        <f t="array" ref="J17">BS_Vega("P",$B17,$E$4,$G17,$H17,$C17)</f>
        <v>110.06969177094869</v>
      </c>
      <c r="K17" s="39" cm="1">
        <f t="array" ref="K17">1 + BS_DELTA("P",$B17,$D$4,$F17,$H17,$C17) - BS_DELTA("P",$B17,$E$4,$G17,$H17,$C17)</f>
        <v>0.92650750025829975</v>
      </c>
      <c r="L17" s="39" cm="1">
        <f t="array" ref="L17">BS_Gamma("P",$B17,$D$4,$F17,$H17,$C17) - BS_Gamma("P",$B17,$E$4,$G17,$H17,$C17)</f>
        <v>3.181250846839847E-4</v>
      </c>
      <c r="M17" s="39" cm="1">
        <f t="array" ref="M17">BS_Theta("P",$B17,$D$4,$F17,$H17,$C17) - BS_Theta("P",$B17,$E$4,$G17,$H17,$C17)</f>
        <v>-82.889068011878123</v>
      </c>
      <c r="N17" s="39" cm="1">
        <f t="array" ref="N17">BS_Vega("P",$B17,$D$4,$F17,$H17,$C17) - BS_Vega("P",$B17,$E$4,$G17,$H17,$C17)</f>
        <v>103.44303799329298</v>
      </c>
      <c r="O17" s="49">
        <f t="shared" si="1"/>
        <v>2465.2199999999998</v>
      </c>
      <c r="P17" s="52">
        <f t="shared" si="2"/>
        <v>72.509999999999764</v>
      </c>
      <c r="Q17" s="53">
        <f t="shared" si="10"/>
        <v>41.429999999999836</v>
      </c>
      <c r="R17" s="39">
        <f t="shared" si="3"/>
        <v>80.309999999999945</v>
      </c>
      <c r="S17" s="54">
        <f t="shared" si="4"/>
        <v>-2.2204879982928305E-3</v>
      </c>
      <c r="T17" s="54">
        <f t="shared" si="4"/>
        <v>-2.9179253810013295E-4</v>
      </c>
      <c r="U17" s="39">
        <f t="shared" si="5"/>
        <v>2.7397260273972603E-3</v>
      </c>
      <c r="V17" s="39">
        <f t="shared" si="6"/>
        <v>72.010563752746876</v>
      </c>
      <c r="W17" s="39">
        <f t="shared" si="7"/>
        <v>0.99624208365362066</v>
      </c>
      <c r="X17" s="39">
        <f t="shared" si="8"/>
        <v>-0.54808500418351025</v>
      </c>
      <c r="Y17" s="51">
        <f t="shared" si="9"/>
        <v>72.458720832216997</v>
      </c>
      <c r="Z17" s="39">
        <f t="shared" si="11"/>
        <v>41.006481129635915</v>
      </c>
      <c r="AA17" s="39">
        <f t="shared" si="11"/>
        <v>0.9609362225187047</v>
      </c>
      <c r="AB17" s="39">
        <f t="shared" si="11"/>
        <v>-0.57242241088142209</v>
      </c>
      <c r="AC17" s="51">
        <f t="shared" si="11"/>
        <v>41.39499494127319</v>
      </c>
      <c r="AE17" s="39">
        <v>-2.0828814667711097</v>
      </c>
    </row>
    <row r="18" spans="1:31" ht="15.6">
      <c r="A18" s="40">
        <v>40010</v>
      </c>
      <c r="B18" s="39">
        <v>2458.9699999999998</v>
      </c>
      <c r="C18" s="47">
        <v>9.689999999999999E-3</v>
      </c>
      <c r="D18" s="43">
        <v>22.2</v>
      </c>
      <c r="E18" s="43">
        <v>8.9</v>
      </c>
      <c r="F18" s="48">
        <v>0.34457483519442694</v>
      </c>
      <c r="G18" s="48">
        <v>0.39502799424716989</v>
      </c>
      <c r="H18" s="48">
        <f t="shared" si="0"/>
        <v>0.17534246575342466</v>
      </c>
      <c r="I18" s="60" cm="1">
        <f t="array" ref="I18">BS_Vega("P",$B18,$D$4,$F18,$H18,$C18)</f>
        <v>205.34069988321085</v>
      </c>
      <c r="J18" s="60" cm="1">
        <f t="array" ref="J18">BS_Vega("P",$B18,$E$4,$G18,$H18,$C18)</f>
        <v>104.94625682252793</v>
      </c>
      <c r="K18" s="39" cm="1">
        <f t="array" ref="K18">1 + BS_DELTA("P",$B18,$D$4,$F18,$H18,$C18) - BS_DELTA("P",$B18,$E$4,$G18,$H18,$C18)</f>
        <v>0.92978784429247885</v>
      </c>
      <c r="L18" s="39" cm="1">
        <f t="array" ref="L18">BS_Gamma("P",$B18,$D$4,$F18,$H18,$C18) - BS_Gamma("P",$B18,$E$4,$G18,$H18,$C18)</f>
        <v>3.1150022984474353E-4</v>
      </c>
      <c r="M18" s="39" cm="1">
        <f t="array" ref="M18">BS_Theta("P",$B18,$D$4,$F18,$H18,$C18) - BS_Theta("P",$B18,$E$4,$G18,$H18,$C18)</f>
        <v>-81.744733657907361</v>
      </c>
      <c r="N18" s="39" cm="1">
        <f t="array" ref="N18">BS_Vega("P",$B18,$D$4,$F18,$H18,$C18) - BS_Vega("P",$B18,$E$4,$G18,$H18,$C18)</f>
        <v>100.39444306068292</v>
      </c>
      <c r="O18" s="49">
        <f t="shared" si="1"/>
        <v>2472.2699999999995</v>
      </c>
      <c r="P18" s="52">
        <f t="shared" si="2"/>
        <v>7.0499999999997272</v>
      </c>
      <c r="Q18" s="53">
        <f t="shared" si="10"/>
        <v>48.479999999999563</v>
      </c>
      <c r="R18" s="39">
        <f t="shared" si="3"/>
        <v>7.9499999999998181</v>
      </c>
      <c r="S18" s="54">
        <f t="shared" si="4"/>
        <v>8.9099030082251396E-5</v>
      </c>
      <c r="T18" s="54">
        <f t="shared" si="4"/>
        <v>1.1652476246153398E-3</v>
      </c>
      <c r="U18" s="39">
        <f t="shared" si="5"/>
        <v>2.7397260273972603E-3</v>
      </c>
      <c r="V18" s="39">
        <f t="shared" si="6"/>
        <v>7.3657346270533148</v>
      </c>
      <c r="W18" s="39">
        <f t="shared" si="7"/>
        <v>-0.21704018668647487</v>
      </c>
      <c r="X18" s="39">
        <f t="shared" si="8"/>
        <v>-0.10923466974603281</v>
      </c>
      <c r="Y18" s="51">
        <f t="shared" si="9"/>
        <v>7.0394597706208071</v>
      </c>
      <c r="Z18" s="39">
        <f t="shared" si="11"/>
        <v>48.372215756689229</v>
      </c>
      <c r="AA18" s="39">
        <f t="shared" si="11"/>
        <v>0.74389603583222985</v>
      </c>
      <c r="AB18" s="39">
        <f t="shared" si="11"/>
        <v>-0.68165708062745489</v>
      </c>
      <c r="AC18" s="51">
        <f t="shared" si="11"/>
        <v>48.434454711893999</v>
      </c>
      <c r="AE18" s="39">
        <v>-2.6214725787687301</v>
      </c>
    </row>
    <row r="19" spans="1:31" ht="15.6">
      <c r="A19" s="40">
        <v>40011</v>
      </c>
      <c r="B19" s="39">
        <v>2469.1999999999998</v>
      </c>
      <c r="C19" s="47">
        <v>9.5399999999999999E-3</v>
      </c>
      <c r="D19" s="43">
        <v>19.5</v>
      </c>
      <c r="E19" s="43">
        <v>7.8</v>
      </c>
      <c r="F19" s="48">
        <v>0.33948558816649727</v>
      </c>
      <c r="G19" s="48">
        <v>0.39189174286430739</v>
      </c>
      <c r="H19" s="48">
        <f t="shared" si="0"/>
        <v>0.17260273972602741</v>
      </c>
      <c r="I19" s="60" cm="1">
        <f t="array" ref="I19">BS_Vega("P",$B19,$D$4,$F19,$H19,$C19)</f>
        <v>191.95752880537347</v>
      </c>
      <c r="J19" s="60" cm="1">
        <f t="array" ref="J19">BS_Vega("P",$B19,$E$4,$G19,$H19,$C19)</f>
        <v>96.319943094346399</v>
      </c>
      <c r="K19" s="39" cm="1">
        <f t="array" ref="K19">1 + BS_DELTA("P",$B19,$D$4,$F19,$H19,$C19) - BS_DELTA("P",$B19,$E$4,$G19,$H19,$C19)</f>
        <v>0.93521761922116375</v>
      </c>
      <c r="L19" s="39" cm="1">
        <f t="array" ref="L19">BS_Gamma("P",$B19,$D$4,$F19,$H19,$C19) - BS_Gamma("P",$B19,$E$4,$G19,$H19,$C19)</f>
        <v>3.0375296214680289E-4</v>
      </c>
      <c r="M19" s="39" cm="1">
        <f t="array" ref="M19">BS_Theta("P",$B19,$D$4,$F19,$H19,$C19) - BS_Theta("P",$B19,$E$4,$G19,$H19,$C19)</f>
        <v>-77.792800467160021</v>
      </c>
      <c r="N19" s="39" cm="1">
        <f t="array" ref="N19">BS_Vega("P",$B19,$D$4,$F19,$H19,$C19) - BS_Vega("P",$B19,$E$4,$G19,$H19,$C19)</f>
        <v>95.637585711027072</v>
      </c>
      <c r="O19" s="49">
        <f t="shared" si="1"/>
        <v>2480.8999999999996</v>
      </c>
      <c r="P19" s="52">
        <f t="shared" si="2"/>
        <v>8.6300000000001091</v>
      </c>
      <c r="Q19" s="53">
        <f t="shared" si="10"/>
        <v>57.109999999999673</v>
      </c>
      <c r="R19" s="39">
        <f t="shared" si="3"/>
        <v>10.230000000000018</v>
      </c>
      <c r="S19" s="54">
        <f t="shared" si="4"/>
        <v>-5.0892470279296775E-3</v>
      </c>
      <c r="T19" s="54">
        <f t="shared" si="4"/>
        <v>-3.1362513828624983E-3</v>
      </c>
      <c r="U19" s="39">
        <f t="shared" si="5"/>
        <v>2.7397260273972603E-3</v>
      </c>
      <c r="V19" s="39">
        <f t="shared" si="6"/>
        <v>9.5117296471120749</v>
      </c>
      <c r="W19" s="39">
        <f t="shared" si="7"/>
        <v>-0.20765847320326611</v>
      </c>
      <c r="X19" s="39">
        <f t="shared" si="8"/>
        <v>-0.71589170350773468</v>
      </c>
      <c r="Y19" s="51">
        <f t="shared" si="9"/>
        <v>8.5881794704010748</v>
      </c>
      <c r="Z19" s="39">
        <f t="shared" si="11"/>
        <v>57.883945403801306</v>
      </c>
      <c r="AA19" s="39">
        <f t="shared" si="11"/>
        <v>0.53623756262896372</v>
      </c>
      <c r="AB19" s="39">
        <f t="shared" si="11"/>
        <v>-1.3975487841351897</v>
      </c>
      <c r="AC19" s="51">
        <f t="shared" si="11"/>
        <v>57.022634182295072</v>
      </c>
      <c r="AE19" s="39">
        <v>-3.1364473934191777</v>
      </c>
    </row>
    <row r="20" spans="1:31" ht="15.6">
      <c r="A20" s="40">
        <v>40014</v>
      </c>
      <c r="B20" s="39">
        <v>2500.69</v>
      </c>
      <c r="C20" s="47">
        <v>9.4399999999999987E-3</v>
      </c>
      <c r="D20" s="43">
        <v>16.5</v>
      </c>
      <c r="E20" s="43">
        <v>6.7</v>
      </c>
      <c r="F20" s="48">
        <v>0.34881913240568135</v>
      </c>
      <c r="G20" s="48">
        <v>0.40372307196543861</v>
      </c>
      <c r="H20" s="48">
        <f t="shared" si="0"/>
        <v>0.16438356164383561</v>
      </c>
      <c r="I20" s="60" cm="1">
        <f t="array" ref="I20">BS_Vega("P",$B20,$D$4,$F20,$H20,$C20)</f>
        <v>170.04673959990038</v>
      </c>
      <c r="J20" s="60" cm="1">
        <f t="array" ref="J20">BS_Vega("P",$B20,$E$4,$G20,$H20,$C20)</f>
        <v>84.508074239890917</v>
      </c>
      <c r="K20" s="39" cm="1">
        <f t="array" ref="K20">1 + BS_DELTA("P",$B20,$D$4,$F20,$H20,$C20) - BS_DELTA("P",$B20,$E$4,$G20,$H20,$C20)</f>
        <v>0.94438624003874361</v>
      </c>
      <c r="L20" s="39" cm="1">
        <f t="array" ref="L20">BS_Gamma("P",$B20,$D$4,$F20,$H20,$C20) - BS_Gamma("P",$B20,$E$4,$G20,$H20,$C20)</f>
        <v>2.7060341879076347E-4</v>
      </c>
      <c r="M20" s="39" cm="1">
        <f t="array" ref="M20">BS_Theta("P",$B20,$D$4,$F20,$H20,$C20) - BS_Theta("P",$B20,$E$4,$G20,$H20,$C20)</f>
        <v>-75.237635566948995</v>
      </c>
      <c r="N20" s="39" cm="1">
        <f t="array" ref="N20">BS_Vega("P",$B20,$D$4,$F20,$H20,$C20) - BS_Vega("P",$B20,$E$4,$G20,$H20,$C20)</f>
        <v>85.53866536000946</v>
      </c>
      <c r="O20" s="49">
        <f t="shared" si="1"/>
        <v>2510.4900000000002</v>
      </c>
      <c r="P20" s="52">
        <f t="shared" si="2"/>
        <v>29.5900000000006</v>
      </c>
      <c r="Q20" s="53">
        <f t="shared" si="10"/>
        <v>86.700000000000273</v>
      </c>
      <c r="R20" s="39">
        <f t="shared" si="3"/>
        <v>31.490000000000236</v>
      </c>
      <c r="S20" s="54">
        <f t="shared" si="4"/>
        <v>9.3335442391840884E-3</v>
      </c>
      <c r="T20" s="54">
        <f t="shared" si="4"/>
        <v>1.1831329101131216E-2</v>
      </c>
      <c r="U20" s="39">
        <f t="shared" si="5"/>
        <v>8.21917808219178E-3</v>
      </c>
      <c r="V20" s="39">
        <f t="shared" si="6"/>
        <v>29.450002829274666</v>
      </c>
      <c r="W20" s="39">
        <f t="shared" si="7"/>
        <v>-0.48878910920234331</v>
      </c>
      <c r="X20" s="39">
        <f t="shared" si="8"/>
        <v>0.65205114139796394</v>
      </c>
      <c r="Y20" s="51">
        <f t="shared" si="9"/>
        <v>29.613264861470288</v>
      </c>
      <c r="Z20" s="39">
        <f t="shared" si="11"/>
        <v>87.333948233075972</v>
      </c>
      <c r="AA20" s="39">
        <f t="shared" si="11"/>
        <v>4.7448453426620407E-2</v>
      </c>
      <c r="AB20" s="39">
        <f t="shared" si="11"/>
        <v>-0.74549764273722574</v>
      </c>
      <c r="AC20" s="51">
        <f t="shared" si="11"/>
        <v>86.635899043765363</v>
      </c>
      <c r="AE20" s="39">
        <v>-4.3989529324863241</v>
      </c>
    </row>
    <row r="21" spans="1:31" ht="15.6">
      <c r="A21" s="40">
        <v>40015</v>
      </c>
      <c r="B21" s="39">
        <v>2519.9899999999998</v>
      </c>
      <c r="C21" s="47">
        <v>9.3699999999999999E-3</v>
      </c>
      <c r="D21" s="43">
        <v>14.6</v>
      </c>
      <c r="E21" s="43">
        <v>5.8</v>
      </c>
      <c r="F21" s="48">
        <v>0.35061953723934824</v>
      </c>
      <c r="G21" s="48">
        <v>0.40454003566666946</v>
      </c>
      <c r="H21" s="48">
        <f t="shared" si="0"/>
        <v>0.16164383561643836</v>
      </c>
      <c r="I21" s="60" cm="1">
        <f t="array" ref="I21">BS_Vega("P",$B21,$D$4,$F21,$H21,$C21)</f>
        <v>157.14562558418768</v>
      </c>
      <c r="J21" s="60" cm="1">
        <f t="array" ref="J21">BS_Vega("P",$B21,$E$4,$G21,$H21,$C21)</f>
        <v>76.175726639114004</v>
      </c>
      <c r="K21" s="39" cm="1">
        <f t="array" ref="K21">1 + BS_DELTA("P",$B21,$D$4,$F21,$H21,$C21) - BS_DELTA("P",$B21,$E$4,$G21,$H21,$C21)</f>
        <v>0.94922195887913319</v>
      </c>
      <c r="L21" s="39" cm="1">
        <f t="array" ref="L21">BS_Gamma("P",$B21,$D$4,$F21,$H21,$C21) - BS_Gamma("P",$B21,$E$4,$G21,$H21,$C21)</f>
        <v>2.5318400259644774E-4</v>
      </c>
      <c r="M21" s="39" cm="1">
        <f t="array" ref="M21">BS_Theta("P",$B21,$D$4,$F21,$H21,$C21) - BS_Theta("P",$B21,$E$4,$G21,$H21,$C21)</f>
        <v>-73.828737871501573</v>
      </c>
      <c r="N21" s="39" cm="1">
        <f t="array" ref="N21">BS_Vega("P",$B21,$D$4,$F21,$H21,$C21) - BS_Vega("P",$B21,$E$4,$G21,$H21,$C21)</f>
        <v>80.96989894507368</v>
      </c>
      <c r="O21" s="49">
        <f t="shared" si="1"/>
        <v>2528.7899999999995</v>
      </c>
      <c r="P21" s="52">
        <f t="shared" si="2"/>
        <v>18.299999999999272</v>
      </c>
      <c r="Q21" s="53">
        <f t="shared" si="10"/>
        <v>104.99999999999955</v>
      </c>
      <c r="R21" s="39">
        <f t="shared" si="3"/>
        <v>19.299999999999727</v>
      </c>
      <c r="S21" s="54">
        <f t="shared" si="4"/>
        <v>1.800404833666891E-3</v>
      </c>
      <c r="T21" s="54">
        <f t="shared" si="4"/>
        <v>8.1696370123085504E-4</v>
      </c>
      <c r="U21" s="39">
        <f t="shared" si="5"/>
        <v>2.7397260273972603E-3</v>
      </c>
      <c r="V21" s="39">
        <f t="shared" si="6"/>
        <v>18.226654432747495</v>
      </c>
      <c r="W21" s="39">
        <f t="shared" si="7"/>
        <v>-0.15573197466991567</v>
      </c>
      <c r="X21" s="39">
        <f t="shared" si="8"/>
        <v>0.23711294281004261</v>
      </c>
      <c r="Y21" s="51">
        <f t="shared" si="9"/>
        <v>18.308035400887622</v>
      </c>
      <c r="Z21" s="39">
        <f t="shared" si="11"/>
        <v>105.56060266582347</v>
      </c>
      <c r="AA21" s="39">
        <f t="shared" si="11"/>
        <v>-0.10828352124329527</v>
      </c>
      <c r="AB21" s="39">
        <f t="shared" si="11"/>
        <v>-0.50838469992718316</v>
      </c>
      <c r="AC21" s="51">
        <f t="shared" si="11"/>
        <v>104.94393444465298</v>
      </c>
      <c r="AE21" s="39">
        <v>-4.798419226881264</v>
      </c>
    </row>
    <row r="22" spans="1:31" ht="15.6">
      <c r="A22" s="40">
        <v>40016</v>
      </c>
      <c r="B22" s="39">
        <v>2528.85</v>
      </c>
      <c r="C22" s="47">
        <v>9.3299999999999998E-3</v>
      </c>
      <c r="D22" s="43">
        <v>14</v>
      </c>
      <c r="E22" s="43">
        <v>5.5</v>
      </c>
      <c r="F22" s="48">
        <v>0.35446092107140453</v>
      </c>
      <c r="G22" s="48">
        <v>0.40787613102200643</v>
      </c>
      <c r="H22" s="48">
        <f t="shared" si="0"/>
        <v>0.15890410958904111</v>
      </c>
      <c r="I22" s="60" cm="1">
        <f t="array" ref="I22">BS_Vega("P",$B22,$D$4,$F22,$H22,$C22)</f>
        <v>151.72145401529832</v>
      </c>
      <c r="J22" s="60" cm="1">
        <f t="array" ref="J22">BS_Vega("P",$B22,$E$4,$G22,$H22,$C22)</f>
        <v>72.796714733157131</v>
      </c>
      <c r="K22" s="39" cm="1">
        <f t="array" ref="K22">1 + BS_DELTA("P",$B22,$D$4,$F22,$H22,$C22) - BS_DELTA("P",$B22,$E$4,$G22,$H22,$C22)</f>
        <v>0.95092325867657912</v>
      </c>
      <c r="L22" s="39" cm="1">
        <f t="array" ref="L22">BS_Gamma("P",$B22,$D$4,$F22,$H22,$C22) - BS_Gamma("P",$B22,$E$4,$G22,$H22,$C22)</f>
        <v>2.4557730874342392E-4</v>
      </c>
      <c r="M22" s="39" cm="1">
        <f t="array" ref="M22">BS_Theta("P",$B22,$D$4,$F22,$H22,$C22) - BS_Theta("P",$B22,$E$4,$G22,$H22,$C22)</f>
        <v>-74.554654934959558</v>
      </c>
      <c r="N22" s="39" cm="1">
        <f t="array" ref="N22">BS_Vega("P",$B22,$D$4,$F22,$H22,$C22) - BS_Vega("P",$B22,$E$4,$G22,$H22,$C22)</f>
        <v>78.924739282141189</v>
      </c>
      <c r="O22" s="49">
        <f t="shared" si="1"/>
        <v>2537.35</v>
      </c>
      <c r="P22" s="52">
        <f t="shared" si="2"/>
        <v>8.5600000000004002</v>
      </c>
      <c r="Q22" s="53">
        <f t="shared" si="10"/>
        <v>113.55999999999995</v>
      </c>
      <c r="R22" s="39">
        <f t="shared" si="3"/>
        <v>8.8600000000001273</v>
      </c>
      <c r="S22" s="54">
        <f t="shared" si="4"/>
        <v>3.8413838320562887E-3</v>
      </c>
      <c r="T22" s="54">
        <f t="shared" si="4"/>
        <v>3.3360953553369654E-3</v>
      </c>
      <c r="U22" s="39">
        <f t="shared" si="5"/>
        <v>2.7397260273972603E-3</v>
      </c>
      <c r="V22" s="39">
        <f t="shared" si="6"/>
        <v>8.4101065556692411</v>
      </c>
      <c r="W22" s="39">
        <f t="shared" si="7"/>
        <v>-0.19233309325133233</v>
      </c>
      <c r="X22" s="39">
        <f t="shared" si="8"/>
        <v>0.34952717756730306</v>
      </c>
      <c r="Y22" s="51">
        <f t="shared" si="9"/>
        <v>8.5673006399852127</v>
      </c>
      <c r="Z22" s="39">
        <f t="shared" si="11"/>
        <v>113.97070922149271</v>
      </c>
      <c r="AA22" s="39">
        <f t="shared" si="11"/>
        <v>-0.30061661449462762</v>
      </c>
      <c r="AB22" s="39">
        <f t="shared" si="11"/>
        <v>-0.1588575223598801</v>
      </c>
      <c r="AC22" s="51">
        <f t="shared" si="11"/>
        <v>113.5112350846382</v>
      </c>
      <c r="AE22" s="39">
        <v>-5.2423669276114202</v>
      </c>
    </row>
    <row r="23" spans="1:31" ht="15.6">
      <c r="A23" s="40">
        <v>40017</v>
      </c>
      <c r="B23" s="39">
        <v>2585.79</v>
      </c>
      <c r="C23" s="47">
        <v>9.2700000000000005E-3</v>
      </c>
      <c r="D23" s="43">
        <v>9.3000000000000007</v>
      </c>
      <c r="E23" s="43">
        <v>3.8</v>
      </c>
      <c r="F23" s="48">
        <v>0.35166765117482168</v>
      </c>
      <c r="G23" s="48">
        <v>0.40918932748565801</v>
      </c>
      <c r="H23" s="48">
        <f t="shared" si="0"/>
        <v>0.15616438356164383</v>
      </c>
      <c r="I23" s="60" cm="1">
        <f t="array" ref="I23">BS_Vega("P",$B23,$D$4,$F23,$H23,$C23)</f>
        <v>117.5067558655153</v>
      </c>
      <c r="J23" s="60" cm="1">
        <f t="array" ref="J23">BS_Vega("P",$B23,$E$4,$G23,$H23,$C23)</f>
        <v>55.653177020883824</v>
      </c>
      <c r="K23" s="39" cm="1">
        <f t="array" ref="K23">1 + BS_DELTA("P",$B23,$D$4,$F23,$H23,$C23) - BS_DELTA("P",$B23,$E$4,$G23,$H23,$C23)</f>
        <v>0.96562277699359256</v>
      </c>
      <c r="L23" s="39" cm="1">
        <f t="array" ref="L23">BS_Gamma("P",$B23,$D$4,$F23,$H23,$C23) - BS_Gamma("P",$B23,$E$4,$G23,$H23,$C23)</f>
        <v>1.8975297041439588E-4</v>
      </c>
      <c r="M23" s="39" cm="1">
        <f t="array" ref="M23">BS_Theta("P",$B23,$D$4,$F23,$H23,$C23) - BS_Theta("P",$B23,$E$4,$G23,$H23,$C23)</f>
        <v>-58.519572564819299</v>
      </c>
      <c r="N23" s="39" cm="1">
        <f t="array" ref="N23">BS_Vega("P",$B23,$D$4,$F23,$H23,$C23) - BS_Vega("P",$B23,$E$4,$G23,$H23,$C23)</f>
        <v>61.853578844631478</v>
      </c>
      <c r="O23" s="49">
        <f t="shared" si="1"/>
        <v>2591.29</v>
      </c>
      <c r="P23" s="52">
        <f t="shared" si="2"/>
        <v>53.940000000000055</v>
      </c>
      <c r="Q23" s="53">
        <f t="shared" si="10"/>
        <v>167.5</v>
      </c>
      <c r="R23" s="39">
        <f t="shared" si="3"/>
        <v>56.940000000000055</v>
      </c>
      <c r="S23" s="54">
        <f t="shared" si="4"/>
        <v>-2.7932698965828506E-3</v>
      </c>
      <c r="T23" s="54">
        <f t="shared" si="4"/>
        <v>1.313196463651578E-3</v>
      </c>
      <c r="U23" s="39">
        <f t="shared" si="5"/>
        <v>2.7397260273972603E-3</v>
      </c>
      <c r="V23" s="39">
        <f t="shared" si="6"/>
        <v>54.145570349044469</v>
      </c>
      <c r="W23" s="39">
        <f t="shared" si="7"/>
        <v>0.19384157710801586</v>
      </c>
      <c r="X23" s="39">
        <f t="shared" si="8"/>
        <v>-0.51939535851974672</v>
      </c>
      <c r="Y23" s="51">
        <f t="shared" si="9"/>
        <v>53.820016567632742</v>
      </c>
      <c r="Z23" s="39">
        <f t="shared" si="11"/>
        <v>168.11627957053719</v>
      </c>
      <c r="AA23" s="39">
        <f t="shared" si="11"/>
        <v>-0.10677503738661176</v>
      </c>
      <c r="AB23" s="39">
        <f t="shared" si="11"/>
        <v>-0.67825288087962687</v>
      </c>
      <c r="AC23" s="51">
        <f t="shared" si="11"/>
        <v>167.33125165227094</v>
      </c>
      <c r="AE23" s="39">
        <v>-5.0175538651593987</v>
      </c>
    </row>
    <row r="24" spans="1:31" ht="15.6">
      <c r="A24" s="40">
        <v>40018</v>
      </c>
      <c r="B24" s="39">
        <v>2582.7600000000002</v>
      </c>
      <c r="C24" s="47">
        <v>9.2100000000000012E-3</v>
      </c>
      <c r="D24" s="43">
        <v>9.9</v>
      </c>
      <c r="E24" s="43">
        <v>4.0999999999999996</v>
      </c>
      <c r="F24" s="48">
        <v>0.35830891611044402</v>
      </c>
      <c r="G24" s="48">
        <v>0.41682469575769843</v>
      </c>
      <c r="H24" s="48">
        <f t="shared" si="0"/>
        <v>0.15342465753424658</v>
      </c>
      <c r="I24" s="60" cm="1">
        <f t="array" ref="I24">BS_Vega("P",$B24,$D$4,$F24,$H24,$C24)</f>
        <v>120.5455966038124</v>
      </c>
      <c r="J24" s="60" cm="1">
        <f t="array" ref="J24">BS_Vega("P",$B24,$E$4,$G24,$H24,$C24)</f>
        <v>57.896019587508185</v>
      </c>
      <c r="K24" s="39" cm="1">
        <f t="array" ref="K24">1 + BS_DELTA("P",$B24,$D$4,$F24,$H24,$C24) - BS_DELTA("P",$B24,$E$4,$G24,$H24,$C24)</f>
        <v>0.96435936945584055</v>
      </c>
      <c r="L24" s="39" cm="1">
        <f t="array" ref="L24">BS_Gamma("P",$B24,$D$4,$F24,$H24,$C24) - BS_Gamma("P",$B24,$E$4,$G24,$H24,$C24)</f>
        <v>1.9300698977787529E-4</v>
      </c>
      <c r="M24" s="39" cm="1">
        <f t="array" ref="M24">BS_Theta("P",$B24,$D$4,$F24,$H24,$C24) - BS_Theta("P",$B24,$E$4,$G24,$H24,$C24)</f>
        <v>-61.214201462971701</v>
      </c>
      <c r="N24" s="39" cm="1">
        <f t="array" ref="N24">BS_Vega("P",$B24,$D$4,$F24,$H24,$C24) - BS_Vega("P",$B24,$E$4,$G24,$H24,$C24)</f>
        <v>62.649577016304214</v>
      </c>
      <c r="O24" s="49">
        <f t="shared" si="1"/>
        <v>2588.5600000000004</v>
      </c>
      <c r="P24" s="52">
        <f t="shared" si="2"/>
        <v>-2.7299999999995634</v>
      </c>
      <c r="Q24" s="53">
        <f t="shared" si="10"/>
        <v>164.77000000000044</v>
      </c>
      <c r="R24" s="39">
        <f t="shared" si="3"/>
        <v>-3.0299999999997453</v>
      </c>
      <c r="S24" s="54">
        <f t="shared" si="4"/>
        <v>6.6412649356223374E-3</v>
      </c>
      <c r="T24" s="54">
        <f t="shared" si="4"/>
        <v>7.6353682720404215E-3</v>
      </c>
      <c r="U24" s="39">
        <f t="shared" si="5"/>
        <v>2.7397260273972603E-3</v>
      </c>
      <c r="V24" s="39">
        <f t="shared" si="6"/>
        <v>-2.9258370142903396</v>
      </c>
      <c r="W24" s="39">
        <f t="shared" si="7"/>
        <v>-0.15945654454495944</v>
      </c>
      <c r="X24" s="39">
        <f t="shared" si="8"/>
        <v>0.35546099536487574</v>
      </c>
      <c r="Y24" s="51">
        <f t="shared" si="9"/>
        <v>-2.7298325634704232</v>
      </c>
      <c r="Z24" s="39">
        <f t="shared" si="11"/>
        <v>165.19044255624684</v>
      </c>
      <c r="AA24" s="39">
        <f t="shared" si="11"/>
        <v>-0.2662315819315712</v>
      </c>
      <c r="AB24" s="39">
        <f t="shared" si="11"/>
        <v>-0.32279188551475113</v>
      </c>
      <c r="AC24" s="51">
        <f t="shared" si="11"/>
        <v>164.60141908880053</v>
      </c>
      <c r="AE24" s="39">
        <v>-5.3745667914261039</v>
      </c>
    </row>
    <row r="25" spans="1:31" ht="15.6">
      <c r="A25" s="40">
        <v>40021</v>
      </c>
      <c r="B25" s="39">
        <v>2601.41</v>
      </c>
      <c r="C25" s="47">
        <v>9.1400000000000006E-3</v>
      </c>
      <c r="D25" s="43">
        <v>9</v>
      </c>
      <c r="E25" s="43">
        <v>3.8</v>
      </c>
      <c r="F25" s="48">
        <v>0.36968909052708099</v>
      </c>
      <c r="G25" s="48">
        <v>0.43086803934600265</v>
      </c>
      <c r="H25" s="48">
        <f t="shared" si="0"/>
        <v>0.14520547945205478</v>
      </c>
      <c r="I25" s="60" cm="1">
        <f t="array" ref="I25">BS_Vega("P",$B25,$D$4,$F25,$H25,$C25)</f>
        <v>109.99324781530574</v>
      </c>
      <c r="J25" s="60" cm="1">
        <f t="array" ref="J25">BS_Vega("P",$B25,$E$4,$G25,$H25,$C25)</f>
        <v>53.108736211095334</v>
      </c>
      <c r="K25" s="39" cm="1">
        <f t="array" ref="K25">1 + BS_DELTA("P",$B25,$D$4,$F25,$H25,$C25) - BS_DELTA("P",$B25,$E$4,$G25,$H25,$C25)</f>
        <v>0.96771890821238216</v>
      </c>
      <c r="L25" s="39" cm="1">
        <f t="array" ref="L25">BS_Gamma("P",$B25,$D$4,$F25,$H25,$C25) - BS_Gamma("P",$B25,$E$4,$G25,$H25,$C25)</f>
        <v>1.7734543403498485E-4</v>
      </c>
      <c r="M25" s="39" cm="1">
        <f t="array" ref="M25">BS_Theta("P",$B25,$D$4,$F25,$H25,$C25) - BS_Theta("P",$B25,$E$4,$G25,$H25,$C25)</f>
        <v>-60.410051205253097</v>
      </c>
      <c r="N25" s="39" cm="1">
        <f t="array" ref="N25">BS_Vega("P",$B25,$D$4,$F25,$H25,$C25) - BS_Vega("P",$B25,$E$4,$G25,$H25,$C25)</f>
        <v>56.884511604210402</v>
      </c>
      <c r="O25" s="49">
        <f t="shared" si="1"/>
        <v>2606.6099999999997</v>
      </c>
      <c r="P25" s="52">
        <f t="shared" si="2"/>
        <v>18.049999999999272</v>
      </c>
      <c r="Q25" s="53">
        <f t="shared" si="10"/>
        <v>182.81999999999971</v>
      </c>
      <c r="R25" s="39">
        <f t="shared" si="3"/>
        <v>18.649999999999636</v>
      </c>
      <c r="S25" s="54">
        <f t="shared" si="4"/>
        <v>1.1380174416636968E-2</v>
      </c>
      <c r="T25" s="54">
        <f t="shared" si="4"/>
        <v>1.4043343588304225E-2</v>
      </c>
      <c r="U25" s="39">
        <f t="shared" si="5"/>
        <v>8.21917808219178E-3</v>
      </c>
      <c r="V25" s="39">
        <f t="shared" si="6"/>
        <v>17.985302240351075</v>
      </c>
      <c r="W25" s="39">
        <f t="shared" si="7"/>
        <v>-0.46956433613232279</v>
      </c>
      <c r="X25" s="39">
        <f t="shared" si="8"/>
        <v>0.5587762190463772</v>
      </c>
      <c r="Y25" s="51">
        <f t="shared" si="9"/>
        <v>18.074514123265129</v>
      </c>
      <c r="Z25" s="39">
        <f t="shared" ref="Z25:AC40" si="12">Z24+V25</f>
        <v>183.17574479659791</v>
      </c>
      <c r="AA25" s="39">
        <f t="shared" si="12"/>
        <v>-0.73579591806389399</v>
      </c>
      <c r="AB25" s="39">
        <f t="shared" si="12"/>
        <v>0.23598433353162607</v>
      </c>
      <c r="AC25" s="51">
        <f t="shared" si="12"/>
        <v>182.67593321206564</v>
      </c>
      <c r="AE25" s="39">
        <v>-6.4618573549033815</v>
      </c>
    </row>
    <row r="26" spans="1:31" ht="15.6">
      <c r="A26" s="40">
        <v>40022</v>
      </c>
      <c r="B26" s="39">
        <v>2573.08</v>
      </c>
      <c r="C26" s="47">
        <v>9.0799999999999995E-3</v>
      </c>
      <c r="D26" s="43">
        <v>10</v>
      </c>
      <c r="E26" s="43">
        <v>4.0999999999999996</v>
      </c>
      <c r="F26" s="48">
        <v>0.36749648268388113</v>
      </c>
      <c r="G26" s="48">
        <v>0.42817307761206114</v>
      </c>
      <c r="H26" s="48">
        <f t="shared" si="0"/>
        <v>0.14246575342465753</v>
      </c>
      <c r="I26" s="60" cm="1">
        <f t="array" ref="I26">BS_Vega("P",$B26,$D$4,$F26,$H26,$C26)</f>
        <v>117.75541313678015</v>
      </c>
      <c r="J26" s="60" cm="1">
        <f t="array" ref="J26">BS_Vega("P",$B26,$E$4,$G26,$H26,$C26)</f>
        <v>56.180176551948776</v>
      </c>
      <c r="K26" s="39" cm="1">
        <f t="array" ref="K26">1 + BS_DELTA("P",$B26,$D$4,$F26,$H26,$C26) - BS_DELTA("P",$B26,$E$4,$G26,$H26,$C26)</f>
        <v>0.96332341082924722</v>
      </c>
      <c r="L26" s="39" cm="1">
        <f t="array" ref="L26">BS_Gamma("P",$B26,$D$4,$F26,$H26,$C26) - BS_Gamma("P",$B26,$E$4,$G26,$H26,$C26)</f>
        <v>2.0060553929952536E-4</v>
      </c>
      <c r="M26" s="39" cm="1">
        <f t="array" ref="M26">BS_Theta("P",$B26,$D$4,$F26,$H26,$C26) - BS_Theta("P",$B26,$E$4,$G26,$H26,$C26)</f>
        <v>-66.543852103840848</v>
      </c>
      <c r="N26" s="39" cm="1">
        <f t="array" ref="N26">BS_Vega("P",$B26,$D$4,$F26,$H26,$C26) - BS_Vega("P",$B26,$E$4,$G26,$H26,$C26)</f>
        <v>61.575236584831373</v>
      </c>
      <c r="O26" s="49">
        <f t="shared" si="1"/>
        <v>2578.98</v>
      </c>
      <c r="P26" s="52">
        <f t="shared" si="2"/>
        <v>-27.629999999999654</v>
      </c>
      <c r="Q26" s="53">
        <f t="shared" si="10"/>
        <v>155.19000000000005</v>
      </c>
      <c r="R26" s="39">
        <f t="shared" si="3"/>
        <v>-28.329999999999927</v>
      </c>
      <c r="S26" s="54">
        <f t="shared" si="4"/>
        <v>-2.1926078431998564E-3</v>
      </c>
      <c r="T26" s="54">
        <f t="shared" si="4"/>
        <v>-2.6949617339415144E-3</v>
      </c>
      <c r="U26" s="39">
        <f t="shared" si="5"/>
        <v>2.7397260273972603E-3</v>
      </c>
      <c r="V26" s="39">
        <f t="shared" si="6"/>
        <v>-27.415476669656716</v>
      </c>
      <c r="W26" s="39">
        <f t="shared" si="7"/>
        <v>-9.4339251192352994E-2</v>
      </c>
      <c r="X26" s="39">
        <f t="shared" si="8"/>
        <v>-9.804604603196887E-2</v>
      </c>
      <c r="Y26" s="51">
        <f t="shared" si="9"/>
        <v>-27.607861966881035</v>
      </c>
      <c r="Z26" s="39">
        <f t="shared" si="12"/>
        <v>155.76026812694118</v>
      </c>
      <c r="AA26" s="39">
        <f t="shared" si="12"/>
        <v>-0.83013516925624697</v>
      </c>
      <c r="AB26" s="39">
        <f t="shared" si="12"/>
        <v>0.1379382874996572</v>
      </c>
      <c r="AC26" s="51">
        <f t="shared" si="12"/>
        <v>155.0680712451846</v>
      </c>
      <c r="AE26" s="39">
        <v>-6.7201723484293883</v>
      </c>
    </row>
    <row r="27" spans="1:31" ht="15.6">
      <c r="A27" s="40">
        <v>40023</v>
      </c>
      <c r="B27" s="39">
        <v>2600.31</v>
      </c>
      <c r="C27" s="47">
        <v>9.0299999999999998E-3</v>
      </c>
      <c r="D27" s="43">
        <v>8.6</v>
      </c>
      <c r="E27" s="43">
        <v>3.6</v>
      </c>
      <c r="F27" s="48">
        <v>0.37247030192903946</v>
      </c>
      <c r="G27" s="48">
        <v>0.43478128768953139</v>
      </c>
      <c r="H27" s="48">
        <f t="shared" si="0"/>
        <v>0.13972602739726028</v>
      </c>
      <c r="I27" s="60" cm="1">
        <f t="array" ref="I27">BS_Vega("P",$B27,$D$4,$F27,$H27,$C27)</f>
        <v>105.49961726277998</v>
      </c>
      <c r="J27" s="60" cm="1">
        <f t="array" ref="J27">BS_Vega("P",$B27,$E$4,$G27,$H27,$C27)</f>
        <v>50.440804046659679</v>
      </c>
      <c r="K27" s="39" cm="1">
        <f t="array" ref="K27">1 + BS_DELTA("P",$B27,$D$4,$F27,$H27,$C27) - BS_DELTA("P",$B27,$E$4,$G27,$H27,$C27)</f>
        <v>0.96838973915339521</v>
      </c>
      <c r="L27" s="39" cm="1">
        <f t="array" ref="L27">BS_Gamma("P",$B27,$D$4,$F27,$H27,$C27) - BS_Gamma("P",$B27,$E$4,$G27,$H27,$C27)</f>
        <v>1.7700420556263693E-4</v>
      </c>
      <c r="M27" s="39" cm="1">
        <f t="array" ref="M27">BS_Theta("P",$B27,$D$4,$F27,$H27,$C27) - BS_Theta("P",$B27,$E$4,$G27,$H27,$C27)</f>
        <v>-61.351205459375166</v>
      </c>
      <c r="N27" s="39" cm="1">
        <f t="array" ref="N27">BS_Vega("P",$B27,$D$4,$F27,$H27,$C27) - BS_Vega("P",$B27,$E$4,$G27,$H27,$C27)</f>
        <v>55.058813216120299</v>
      </c>
      <c r="O27" s="49">
        <f t="shared" si="1"/>
        <v>2605.31</v>
      </c>
      <c r="P27" s="52">
        <f t="shared" si="2"/>
        <v>26.329999999999927</v>
      </c>
      <c r="Q27" s="53">
        <f t="shared" si="10"/>
        <v>181.51999999999998</v>
      </c>
      <c r="R27" s="39">
        <f t="shared" si="3"/>
        <v>27.230000000000018</v>
      </c>
      <c r="S27" s="54">
        <f t="shared" si="4"/>
        <v>4.9738192451583285E-3</v>
      </c>
      <c r="T27" s="54">
        <f t="shared" si="4"/>
        <v>6.6082100774702557E-3</v>
      </c>
      <c r="U27" s="39">
        <f t="shared" si="5"/>
        <v>2.7397260273972603E-3</v>
      </c>
      <c r="V27" s="39">
        <f t="shared" si="6"/>
        <v>26.23129647688042</v>
      </c>
      <c r="W27" s="39">
        <f t="shared" si="7"/>
        <v>-0.1079401380819251</v>
      </c>
      <c r="X27" s="39">
        <f t="shared" si="8"/>
        <v>0.2144437312366409</v>
      </c>
      <c r="Y27" s="51">
        <f t="shared" si="9"/>
        <v>26.337800070035136</v>
      </c>
      <c r="Z27" s="39">
        <f t="shared" si="12"/>
        <v>181.99156460382162</v>
      </c>
      <c r="AA27" s="39">
        <f t="shared" si="12"/>
        <v>-0.93807530733817202</v>
      </c>
      <c r="AB27" s="39">
        <f t="shared" si="12"/>
        <v>0.3523820187362981</v>
      </c>
      <c r="AC27" s="51">
        <f t="shared" si="12"/>
        <v>181.40587131521974</v>
      </c>
      <c r="AE27" s="39">
        <v>-7.0061545484419456</v>
      </c>
    </row>
    <row r="28" spans="1:31" ht="15.6">
      <c r="A28" s="40">
        <v>40024</v>
      </c>
      <c r="B28" s="39">
        <v>2654.74</v>
      </c>
      <c r="C28" s="47">
        <v>8.9899999999999997E-3</v>
      </c>
      <c r="D28" s="43">
        <v>6.3</v>
      </c>
      <c r="E28" s="43">
        <v>2.8</v>
      </c>
      <c r="F28" s="48">
        <v>0.37846690584708031</v>
      </c>
      <c r="G28" s="48">
        <v>0.44444744580423384</v>
      </c>
      <c r="H28" s="48">
        <f t="shared" si="0"/>
        <v>0.13698630136986301</v>
      </c>
      <c r="I28" s="60" cm="1">
        <f t="array" ref="I28">BS_Vega("P",$B28,$D$4,$F28,$H28,$C28)</f>
        <v>84.437546150166327</v>
      </c>
      <c r="J28" s="60" cm="1">
        <f t="array" ref="J28">BS_Vega("P",$B28,$E$4,$G28,$H28,$C28)</f>
        <v>41.154157283402213</v>
      </c>
      <c r="K28" s="39" cm="1">
        <f t="array" ref="K28">1 + BS_DELTA("P",$B28,$D$4,$F28,$H28,$C28) - BS_DELTA("P",$B28,$E$4,$G28,$H28,$C28)</f>
        <v>0.97700604669266422</v>
      </c>
      <c r="L28" s="39" cm="1">
        <f t="array" ref="L28">BS_Gamma("P",$B28,$D$4,$F28,$H28,$C28) - BS_Gamma("P",$B28,$E$4,$G28,$H28,$C28)</f>
        <v>1.3518105245409511E-4</v>
      </c>
      <c r="M28" s="39" cm="1">
        <f t="array" ref="M28">BS_Theta("P",$B28,$D$4,$F28,$H28,$C28) - BS_Theta("P",$B28,$E$4,$G28,$H28,$C28)</f>
        <v>-49.300500822027786</v>
      </c>
      <c r="N28" s="39" cm="1">
        <f t="array" ref="N28">BS_Vega("P",$B28,$D$4,$F28,$H28,$C28) - BS_Vega("P",$B28,$E$4,$G28,$H28,$C28)</f>
        <v>43.283388866764113</v>
      </c>
      <c r="O28" s="49">
        <f t="shared" si="1"/>
        <v>2658.24</v>
      </c>
      <c r="P28" s="52">
        <f t="shared" si="2"/>
        <v>52.929999999999836</v>
      </c>
      <c r="Q28" s="53">
        <f t="shared" si="10"/>
        <v>234.44999999999982</v>
      </c>
      <c r="R28" s="39">
        <f t="shared" si="3"/>
        <v>54.429999999999836</v>
      </c>
      <c r="S28" s="54">
        <f t="shared" si="4"/>
        <v>5.9966039180408548E-3</v>
      </c>
      <c r="T28" s="54">
        <f t="shared" si="4"/>
        <v>9.66615811470245E-3</v>
      </c>
      <c r="U28" s="39">
        <f t="shared" si="5"/>
        <v>2.7397260273972603E-3</v>
      </c>
      <c r="V28" s="39">
        <f t="shared" si="6"/>
        <v>52.709453502119146</v>
      </c>
      <c r="W28" s="39">
        <f t="shared" si="7"/>
        <v>9.411303899304474E-2</v>
      </c>
      <c r="X28" s="39">
        <f t="shared" si="8"/>
        <v>0.14507063088206135</v>
      </c>
      <c r="Y28" s="51">
        <f t="shared" si="9"/>
        <v>52.94863717199425</v>
      </c>
      <c r="Z28" s="39">
        <f t="shared" si="12"/>
        <v>234.70101810594076</v>
      </c>
      <c r="AA28" s="39">
        <f t="shared" si="12"/>
        <v>-0.84396226834512733</v>
      </c>
      <c r="AB28" s="39">
        <f t="shared" si="12"/>
        <v>0.49745264961835944</v>
      </c>
      <c r="AC28" s="51">
        <f t="shared" si="12"/>
        <v>234.35450848721399</v>
      </c>
      <c r="AE28" s="39">
        <v>-6.9436640819315105</v>
      </c>
    </row>
    <row r="29" spans="1:31" ht="15.6">
      <c r="A29" s="40">
        <v>40025</v>
      </c>
      <c r="B29" s="39">
        <v>2638.13</v>
      </c>
      <c r="C29" s="47">
        <v>8.9300000000000004E-3</v>
      </c>
      <c r="D29" s="43">
        <v>7.4</v>
      </c>
      <c r="E29" s="43">
        <v>3.2</v>
      </c>
      <c r="F29" s="48">
        <v>0.38670793652228325</v>
      </c>
      <c r="G29" s="48">
        <v>0.45131515519369608</v>
      </c>
      <c r="H29" s="48">
        <f t="shared" si="0"/>
        <v>0.13424657534246576</v>
      </c>
      <c r="I29" s="60" cm="1">
        <f t="array" ref="I29">BS_Vega("P",$B29,$D$4,$F29,$H29,$C29)</f>
        <v>92.554727132552742</v>
      </c>
      <c r="J29" s="60" cm="1">
        <f t="array" ref="J29">BS_Vega("P",$B29,$E$4,$G29,$H29,$C29)</f>
        <v>44.812269610587443</v>
      </c>
      <c r="K29" s="39" cm="1">
        <f t="array" ref="K29">1 + BS_DELTA("P",$B29,$D$4,$F29,$H29,$C29) - BS_DELTA("P",$B29,$E$4,$G29,$H29,$C29)</f>
        <v>0.97343252295792493</v>
      </c>
      <c r="L29" s="39" cm="1">
        <f t="array" ref="L29">BS_Gamma("P",$B29,$D$4,$F29,$H29,$C29) - BS_Gamma("P",$B29,$E$4,$G29,$H29,$C29)</f>
        <v>1.4989244658447393E-4</v>
      </c>
      <c r="M29" s="39" cm="1">
        <f t="array" ref="M29">BS_Theta("P",$B29,$D$4,$F29,$H29,$C29) - BS_Theta("P",$B29,$E$4,$G29,$H29,$C29)</f>
        <v>-57.316448586447379</v>
      </c>
      <c r="N29" s="39" cm="1">
        <f t="array" ref="N29">BS_Vega("P",$B29,$D$4,$F29,$H29,$C29) - BS_Vega("P",$B29,$E$4,$G29,$H29,$C29)</f>
        <v>47.742457521965299</v>
      </c>
      <c r="O29" s="49">
        <f t="shared" si="1"/>
        <v>2642.3300000000004</v>
      </c>
      <c r="P29" s="52">
        <f t="shared" si="2"/>
        <v>-15.9099999999994</v>
      </c>
      <c r="Q29" s="53">
        <f t="shared" si="10"/>
        <v>218.54000000000042</v>
      </c>
      <c r="R29" s="39">
        <f t="shared" si="3"/>
        <v>-16.609999999999673</v>
      </c>
      <c r="S29" s="54">
        <f t="shared" si="4"/>
        <v>8.2410306752029316E-3</v>
      </c>
      <c r="T29" s="54">
        <f t="shared" si="4"/>
        <v>6.8677093894622399E-3</v>
      </c>
      <c r="U29" s="39">
        <f t="shared" si="5"/>
        <v>2.7397260273972603E-3</v>
      </c>
      <c r="V29" s="39">
        <f t="shared" si="6"/>
        <v>-16.228070435564831</v>
      </c>
      <c r="W29" s="39">
        <f t="shared" si="7"/>
        <v>-0.11642217304494507</v>
      </c>
      <c r="X29" s="39">
        <f t="shared" si="8"/>
        <v>0.41321761557175668</v>
      </c>
      <c r="Y29" s="51">
        <f t="shared" si="9"/>
        <v>-15.93127499303802</v>
      </c>
      <c r="Z29" s="39">
        <f t="shared" si="12"/>
        <v>218.47294767037593</v>
      </c>
      <c r="AA29" s="39">
        <f t="shared" si="12"/>
        <v>-0.9603844413900724</v>
      </c>
      <c r="AB29" s="39">
        <f t="shared" si="12"/>
        <v>0.91067026519011618</v>
      </c>
      <c r="AC29" s="51">
        <f t="shared" si="12"/>
        <v>218.42323349417597</v>
      </c>
      <c r="AE29" s="39">
        <v>-7.228592143185387</v>
      </c>
    </row>
    <row r="30" spans="1:31" ht="15.6">
      <c r="A30" s="40">
        <v>40028</v>
      </c>
      <c r="B30" s="39">
        <v>2674.07</v>
      </c>
      <c r="C30" s="47">
        <v>8.8599999999999998E-3</v>
      </c>
      <c r="D30" s="43">
        <v>6.1</v>
      </c>
      <c r="E30" s="43">
        <v>2.7</v>
      </c>
      <c r="F30" s="48">
        <v>0.40134615176668509</v>
      </c>
      <c r="G30" s="48">
        <v>0.46885383185359286</v>
      </c>
      <c r="H30" s="48">
        <f t="shared" si="0"/>
        <v>0.12602739726027398</v>
      </c>
      <c r="I30" s="60" cm="1">
        <f t="array" ref="I30">BS_Vega("P",$B30,$D$4,$F30,$H30,$C30)</f>
        <v>78.343169144374414</v>
      </c>
      <c r="J30" s="60" cm="1">
        <f t="array" ref="J30">BS_Vega("P",$B30,$E$4,$G30,$H30,$C30)</f>
        <v>38.100979973639298</v>
      </c>
      <c r="K30" s="39" cm="1">
        <f t="array" ref="K30">1 + BS_DELTA("P",$B30,$D$4,$F30,$H30,$C30) - BS_DELTA("P",$B30,$E$4,$G30,$H30,$C30)</f>
        <v>0.97811913088172431</v>
      </c>
      <c r="L30" s="39" cm="1">
        <f t="array" ref="L30">BS_Gamma("P",$B30,$D$4,$F30,$H30,$C30) - BS_Gamma("P",$B30,$E$4,$G30,$H30,$C30)</f>
        <v>1.2643110007872453E-4</v>
      </c>
      <c r="M30" s="39" cm="1">
        <f t="array" ref="M30">BS_Theta("P",$B30,$D$4,$F30,$H30,$C30) - BS_Theta("P",$B30,$E$4,$G30,$H30,$C30)</f>
        <v>-53.324433247604574</v>
      </c>
      <c r="N30" s="39" cm="1">
        <f t="array" ref="N30">BS_Vega("P",$B30,$D$4,$F30,$H30,$C30) - BS_Vega("P",$B30,$E$4,$G30,$H30,$C30)</f>
        <v>40.242189170735116</v>
      </c>
      <c r="O30" s="49">
        <f t="shared" si="1"/>
        <v>2677.4700000000003</v>
      </c>
      <c r="P30" s="52">
        <f t="shared" si="2"/>
        <v>35.139999999999873</v>
      </c>
      <c r="Q30" s="53">
        <f t="shared" si="10"/>
        <v>253.68000000000029</v>
      </c>
      <c r="R30" s="39">
        <f t="shared" si="3"/>
        <v>35.940000000000055</v>
      </c>
      <c r="S30" s="54">
        <f t="shared" si="4"/>
        <v>1.4638215244401842E-2</v>
      </c>
      <c r="T30" s="54">
        <f t="shared" si="4"/>
        <v>1.7538676659896779E-2</v>
      </c>
      <c r="U30" s="39">
        <f t="shared" si="5"/>
        <v>8.21917808219178E-3</v>
      </c>
      <c r="V30" s="39">
        <f t="shared" si="6"/>
        <v>34.985164875107877</v>
      </c>
      <c r="W30" s="39">
        <f t="shared" si="7"/>
        <v>-0.37428729046227954</v>
      </c>
      <c r="X30" s="39">
        <f t="shared" si="8"/>
        <v>0.56888811055697464</v>
      </c>
      <c r="Y30" s="51">
        <f t="shared" si="9"/>
        <v>35.179765695202576</v>
      </c>
      <c r="Z30" s="39">
        <f t="shared" si="12"/>
        <v>253.4581125454838</v>
      </c>
      <c r="AA30" s="39">
        <f t="shared" si="12"/>
        <v>-1.334671731852352</v>
      </c>
      <c r="AB30" s="39">
        <f t="shared" si="12"/>
        <v>1.4795583757470907</v>
      </c>
      <c r="AC30" s="51">
        <f t="shared" si="12"/>
        <v>253.60299918937855</v>
      </c>
      <c r="AE30" s="39">
        <v>-8.1494456454939836</v>
      </c>
    </row>
    <row r="31" spans="1:31" ht="15.6">
      <c r="A31" s="40">
        <v>40029</v>
      </c>
      <c r="B31" s="39">
        <v>2670.96</v>
      </c>
      <c r="C31" s="47">
        <v>8.8400000000000006E-3</v>
      </c>
      <c r="D31" s="43">
        <v>5.7</v>
      </c>
      <c r="E31" s="43">
        <v>2.2999999999999998</v>
      </c>
      <c r="F31" s="48">
        <v>0.39897231749810802</v>
      </c>
      <c r="G31" s="48">
        <v>0.46153354316423623</v>
      </c>
      <c r="H31" s="48">
        <f t="shared" si="0"/>
        <v>0.12328767123287671</v>
      </c>
      <c r="I31" s="60" cm="1">
        <f t="array" ref="I31">BS_Vega("P",$B31,$D$4,$F31,$H31,$C31)</f>
        <v>74.764470259409592</v>
      </c>
      <c r="J31" s="60" cm="1">
        <f t="array" ref="J31">BS_Vega("P",$B31,$E$4,$G31,$H31,$C31)</f>
        <v>34.051899435628172</v>
      </c>
      <c r="K31" s="39" cm="1">
        <f t="array" ref="K31">1 + BS_DELTA("P",$B31,$D$4,$F31,$H31,$C31) - BS_DELTA("P",$B31,$E$4,$G31,$H31,$C31)</f>
        <v>0.97792490618655881</v>
      </c>
      <c r="L31" s="39" cm="1">
        <f t="array" ref="L31">BS_Gamma("P",$B31,$D$4,$F31,$H31,$C31) - BS_Gamma("P",$B31,$E$4,$G31,$H31,$C31)</f>
        <v>1.2917324096315961E-4</v>
      </c>
      <c r="M31" s="39" cm="1">
        <f t="array" ref="M31">BS_Theta("P",$B31,$D$4,$F31,$H31,$C31) - BS_Theta("P",$B31,$E$4,$G31,$H31,$C31)</f>
        <v>-56.68421109643964</v>
      </c>
      <c r="N31" s="39" cm="1">
        <f t="array" ref="N31">BS_Vega("P",$B31,$D$4,$F31,$H31,$C31) - BS_Vega("P",$B31,$E$4,$G31,$H31,$C31)</f>
        <v>40.712570823781419</v>
      </c>
      <c r="O31" s="49">
        <f t="shared" si="1"/>
        <v>2674.3599999999997</v>
      </c>
      <c r="P31" s="52">
        <f t="shared" si="2"/>
        <v>-3.1100000000005821</v>
      </c>
      <c r="Q31" s="53">
        <f t="shared" si="10"/>
        <v>250.56999999999971</v>
      </c>
      <c r="R31" s="39">
        <f t="shared" si="3"/>
        <v>-3.1100000000001273</v>
      </c>
      <c r="S31" s="54">
        <f t="shared" si="4"/>
        <v>-2.3738342685770686E-3</v>
      </c>
      <c r="T31" s="54">
        <f t="shared" si="4"/>
        <v>-7.3202886893566355E-3</v>
      </c>
      <c r="U31" s="39">
        <f t="shared" si="5"/>
        <v>2.7397260273972603E-3</v>
      </c>
      <c r="V31" s="39">
        <f t="shared" si="6"/>
        <v>-3.0419504970422873</v>
      </c>
      <c r="W31" s="39">
        <f t="shared" si="7"/>
        <v>-0.14548291054313428</v>
      </c>
      <c r="X31" s="39">
        <f t="shared" si="8"/>
        <v>9.2936473130589808E-2</v>
      </c>
      <c r="Y31" s="51">
        <f t="shared" si="9"/>
        <v>-3.0944969344548316</v>
      </c>
      <c r="Z31" s="39">
        <f t="shared" si="12"/>
        <v>250.41616204844152</v>
      </c>
      <c r="AA31" s="39">
        <f t="shared" si="12"/>
        <v>-1.4801546423954863</v>
      </c>
      <c r="AB31" s="39">
        <f t="shared" si="12"/>
        <v>1.5724948488776804</v>
      </c>
      <c r="AC31" s="51">
        <f t="shared" si="12"/>
        <v>250.50850225492371</v>
      </c>
      <c r="AE31" s="39">
        <v>-8.4875567197058857</v>
      </c>
    </row>
    <row r="32" spans="1:31" ht="15.6">
      <c r="A32" s="40">
        <v>40030</v>
      </c>
      <c r="B32" s="39">
        <v>2643.13</v>
      </c>
      <c r="C32" s="47">
        <v>8.8400000000000006E-3</v>
      </c>
      <c r="D32" s="43">
        <v>5.5</v>
      </c>
      <c r="E32" s="43">
        <v>2.2000000000000002</v>
      </c>
      <c r="F32" s="48">
        <v>0.3869663635121805</v>
      </c>
      <c r="G32" s="48">
        <v>0.45186675090613798</v>
      </c>
      <c r="H32" s="48">
        <f t="shared" si="0"/>
        <v>0.12054794520547946</v>
      </c>
      <c r="I32" s="60" cm="1">
        <f t="array" ref="I32">BS_Vega("P",$B32,$D$4,$F32,$H32,$C32)</f>
        <v>74.135903524343277</v>
      </c>
      <c r="J32" s="60" cm="1">
        <f t="array" ref="J32">BS_Vega("P",$B32,$E$4,$G32,$H32,$C32)</f>
        <v>33.3250433947251</v>
      </c>
      <c r="K32" s="39" cm="1">
        <f t="array" ref="K32">1 + BS_DELTA("P",$B32,$D$4,$F32,$H32,$C32) - BS_DELTA("P",$B32,$E$4,$G32,$H32,$C32)</f>
        <v>0.97733258780613352</v>
      </c>
      <c r="L32" s="39" cm="1">
        <f t="array" ref="L32">BS_Gamma("P",$B32,$D$4,$F32,$H32,$C32) - BS_Gamma("P",$B32,$E$4,$G32,$H32,$C32)</f>
        <v>1.3991636955142111E-4</v>
      </c>
      <c r="M32" s="39" cm="1">
        <f t="array" ref="M32">BS_Theta("P",$B32,$D$4,$F32,$H32,$C32) - BS_Theta("P",$B32,$E$4,$G32,$H32,$C32)</f>
        <v>-55.973152324777892</v>
      </c>
      <c r="N32" s="39" cm="1">
        <f t="array" ref="N32">BS_Vega("P",$B32,$D$4,$F32,$H32,$C32) - BS_Vega("P",$B32,$E$4,$G32,$H32,$C32)</f>
        <v>40.810860129618177</v>
      </c>
      <c r="O32" s="49">
        <f t="shared" si="1"/>
        <v>2646.4300000000003</v>
      </c>
      <c r="P32" s="52">
        <f t="shared" si="2"/>
        <v>-27.929999999999382</v>
      </c>
      <c r="Q32" s="53">
        <f t="shared" si="10"/>
        <v>222.64000000000033</v>
      </c>
      <c r="R32" s="39">
        <f t="shared" si="3"/>
        <v>-27.829999999999927</v>
      </c>
      <c r="S32" s="54">
        <f t="shared" si="4"/>
        <v>-1.200595398592752E-2</v>
      </c>
      <c r="T32" s="54">
        <f t="shared" si="4"/>
        <v>-9.6667922580982446E-3</v>
      </c>
      <c r="U32" s="39">
        <f t="shared" si="5"/>
        <v>2.7397260273972603E-3</v>
      </c>
      <c r="V32" s="39">
        <f t="shared" si="6"/>
        <v>-27.21565013917186</v>
      </c>
      <c r="W32" s="39">
        <f t="shared" si="7"/>
        <v>-0.10527629609949068</v>
      </c>
      <c r="X32" s="39">
        <f t="shared" si="8"/>
        <v>-0.56844615187884773</v>
      </c>
      <c r="Y32" s="51">
        <f t="shared" si="9"/>
        <v>-27.889372587150199</v>
      </c>
      <c r="Z32" s="39">
        <f t="shared" si="12"/>
        <v>223.20051190926966</v>
      </c>
      <c r="AA32" s="39">
        <f t="shared" si="12"/>
        <v>-1.585430938494977</v>
      </c>
      <c r="AB32" s="39">
        <f t="shared" si="12"/>
        <v>1.0040486969988327</v>
      </c>
      <c r="AC32" s="51">
        <f t="shared" si="12"/>
        <v>222.61912966777351</v>
      </c>
      <c r="AE32" s="39">
        <v>-8.733991799133257</v>
      </c>
    </row>
    <row r="33" spans="1:31" ht="15.6">
      <c r="A33" s="40">
        <v>40031</v>
      </c>
      <c r="B33" s="39">
        <v>2662.01</v>
      </c>
      <c r="C33" s="47">
        <v>8.8299999999999993E-3</v>
      </c>
      <c r="D33" s="43">
        <v>4.4000000000000004</v>
      </c>
      <c r="E33" s="43">
        <v>1.8</v>
      </c>
      <c r="F33" s="48">
        <v>0.38463724604798066</v>
      </c>
      <c r="G33" s="48">
        <v>0.45209311165376481</v>
      </c>
      <c r="H33" s="48">
        <f t="shared" si="0"/>
        <v>0.11780821917808219</v>
      </c>
      <c r="I33" s="60" cm="1">
        <f t="array" ref="I33">BS_Vega("P",$B33,$D$4,$F33,$H33,$C33)</f>
        <v>63.42061139685174</v>
      </c>
      <c r="J33" s="60" cm="1">
        <f t="array" ref="J33">BS_Vega("P",$B33,$E$4,$G33,$H33,$C33)</f>
        <v>28.512181012766032</v>
      </c>
      <c r="K33" s="39" cm="1">
        <f t="array" ref="K33">1 + BS_DELTA("P",$B33,$D$4,$F33,$H33,$C33) - BS_DELTA("P",$B33,$E$4,$G33,$H33,$C33)</f>
        <v>0.98125715000003089</v>
      </c>
      <c r="L33" s="39" cm="1">
        <f t="array" ref="L33">BS_Gamma("P",$B33,$D$4,$F33,$H33,$C33) - BS_Gamma("P",$B33,$E$4,$G33,$H33,$C33)</f>
        <v>1.2196242059336012E-4</v>
      </c>
      <c r="M33" s="39" cm="1">
        <f t="array" ref="M33">BS_Theta("P",$B33,$D$4,$F33,$H33,$C33) - BS_Theta("P",$B33,$E$4,$G33,$H33,$C33)</f>
        <v>-48.360615532157894</v>
      </c>
      <c r="N33" s="39" cm="1">
        <f t="array" ref="N33">BS_Vega("P",$B33,$D$4,$F33,$H33,$C33) - BS_Vega("P",$B33,$E$4,$G33,$H33,$C33)</f>
        <v>34.908430384085705</v>
      </c>
      <c r="O33" s="49">
        <f t="shared" si="1"/>
        <v>2664.61</v>
      </c>
      <c r="P33" s="52">
        <f t="shared" si="2"/>
        <v>18.179999999999836</v>
      </c>
      <c r="Q33" s="53">
        <f t="shared" si="10"/>
        <v>240.82000000000016</v>
      </c>
      <c r="R33" s="39">
        <f t="shared" si="3"/>
        <v>18.880000000000109</v>
      </c>
      <c r="S33" s="54">
        <f t="shared" si="4"/>
        <v>-2.3291174641998369E-3</v>
      </c>
      <c r="T33" s="54">
        <f t="shared" si="4"/>
        <v>2.2636074762683034E-4</v>
      </c>
      <c r="U33" s="39">
        <f t="shared" si="5"/>
        <v>2.7397260273972603E-3</v>
      </c>
      <c r="V33" s="39">
        <f t="shared" si="6"/>
        <v>18.452039257779909</v>
      </c>
      <c r="W33" s="39">
        <f t="shared" si="7"/>
        <v>-0.12841419948035016</v>
      </c>
      <c r="X33" s="39">
        <f t="shared" si="8"/>
        <v>-0.1802147093603087</v>
      </c>
      <c r="Y33" s="51">
        <f t="shared" si="9"/>
        <v>18.143410348939248</v>
      </c>
      <c r="Z33" s="39">
        <f t="shared" si="12"/>
        <v>241.65255116704958</v>
      </c>
      <c r="AA33" s="39">
        <f t="shared" si="12"/>
        <v>-1.7138451379753272</v>
      </c>
      <c r="AB33" s="39">
        <f t="shared" si="12"/>
        <v>0.823833987638524</v>
      </c>
      <c r="AC33" s="51">
        <f t="shared" si="12"/>
        <v>240.76254001671276</v>
      </c>
      <c r="AE33" s="39">
        <v>-9.0169496478072695</v>
      </c>
    </row>
    <row r="34" spans="1:31" ht="15.6">
      <c r="A34" s="40">
        <v>40032</v>
      </c>
      <c r="B34" s="39">
        <v>2706.22</v>
      </c>
      <c r="C34" s="47">
        <v>8.8100000000000001E-3</v>
      </c>
      <c r="D34" s="43">
        <v>3.4</v>
      </c>
      <c r="E34" s="43">
        <v>1.6</v>
      </c>
      <c r="F34" s="48">
        <v>0.39270838113577278</v>
      </c>
      <c r="G34" s="48">
        <v>0.46840539594766928</v>
      </c>
      <c r="H34" s="48">
        <f t="shared" si="0"/>
        <v>0.11506849315068493</v>
      </c>
      <c r="I34" s="60" cm="1">
        <f t="array" ref="I34">BS_Vega("P",$B34,$D$4,$F34,$H34,$C34)</f>
        <v>51.776067941008947</v>
      </c>
      <c r="J34" s="60" cm="1">
        <f t="array" ref="J34">BS_Vega("P",$B34,$E$4,$G34,$H34,$C34)</f>
        <v>25.302057409998536</v>
      </c>
      <c r="K34" s="39" cm="1">
        <f t="array" ref="K34">1 + BS_DELTA("P",$B34,$D$4,$F34,$H34,$C34) - BS_DELTA("P",$B34,$E$4,$G34,$H34,$C34)</f>
        <v>0.98643053117446189</v>
      </c>
      <c r="L34" s="39" cm="1">
        <f t="array" ref="L34">BS_Gamma("P",$B34,$D$4,$F34,$H34,$C34) - BS_Gamma("P",$B34,$E$4,$G34,$H34,$C34)</f>
        <v>9.2351243262753891E-5</v>
      </c>
      <c r="M34" s="39" cm="1">
        <f t="array" ref="M34">BS_Theta("P",$B34,$D$4,$F34,$H34,$C34) - BS_Theta("P",$B34,$E$4,$G34,$H34,$C34)</f>
        <v>-36.513783310115564</v>
      </c>
      <c r="N34" s="39" cm="1">
        <f t="array" ref="N34">BS_Vega("P",$B34,$D$4,$F34,$H34,$C34) - BS_Vega("P",$B34,$E$4,$G34,$H34,$C34)</f>
        <v>26.474010531010411</v>
      </c>
      <c r="O34" s="49">
        <f t="shared" si="1"/>
        <v>2708.02</v>
      </c>
      <c r="P34" s="52">
        <f t="shared" si="2"/>
        <v>43.409999999999854</v>
      </c>
      <c r="Q34" s="53">
        <f t="shared" si="10"/>
        <v>284.23</v>
      </c>
      <c r="R34" s="39">
        <f t="shared" si="3"/>
        <v>44.209999999999582</v>
      </c>
      <c r="S34" s="54">
        <f t="shared" si="4"/>
        <v>8.071135087792114E-3</v>
      </c>
      <c r="T34" s="54">
        <f t="shared" si="4"/>
        <v>1.6312284293904467E-2</v>
      </c>
      <c r="U34" s="39">
        <f t="shared" si="5"/>
        <v>2.7397260273972603E-3</v>
      </c>
      <c r="V34" s="39">
        <f t="shared" si="6"/>
        <v>43.381378601500955</v>
      </c>
      <c r="W34" s="39">
        <f t="shared" si="7"/>
        <v>-1.3305591902378108E-2</v>
      </c>
      <c r="X34" s="39">
        <f t="shared" si="8"/>
        <v>4.677751941485403E-2</v>
      </c>
      <c r="Y34" s="51">
        <f t="shared" si="9"/>
        <v>43.414850529013428</v>
      </c>
      <c r="Z34" s="39">
        <f t="shared" si="12"/>
        <v>285.03392976855054</v>
      </c>
      <c r="AA34" s="39">
        <f t="shared" si="12"/>
        <v>-1.7271507298777053</v>
      </c>
      <c r="AB34" s="39">
        <f t="shared" si="12"/>
        <v>0.87061150705337798</v>
      </c>
      <c r="AC34" s="51">
        <f t="shared" si="12"/>
        <v>284.17739054572621</v>
      </c>
      <c r="AE34" s="39">
        <v>-9.1054977224144853</v>
      </c>
    </row>
    <row r="35" spans="1:31" ht="15.6">
      <c r="A35" s="40">
        <v>40035</v>
      </c>
      <c r="B35" s="39">
        <v>2693.61</v>
      </c>
      <c r="C35" s="47">
        <v>8.8400000000000006E-3</v>
      </c>
      <c r="D35" s="43">
        <v>3.4</v>
      </c>
      <c r="E35" s="43">
        <v>1.3</v>
      </c>
      <c r="F35" s="48">
        <v>0.40135881797002043</v>
      </c>
      <c r="G35" s="48">
        <v>0.46754339846948445</v>
      </c>
      <c r="H35" s="48">
        <f t="shared" si="0"/>
        <v>0.10684931506849316</v>
      </c>
      <c r="I35" s="60" cm="1">
        <f t="array" ref="I35">BS_Vega("P",$B35,$D$4,$F35,$H35,$C35)</f>
        <v>50.424181966337535</v>
      </c>
      <c r="J35" s="60" cm="1">
        <f t="array" ref="J35">BS_Vega("P",$B35,$E$4,$G35,$H35,$C35)</f>
        <v>21.363443498728124</v>
      </c>
      <c r="K35" s="39" cm="1">
        <f t="array" ref="K35">1 + BS_DELTA("P",$B35,$D$4,$F35,$H35,$C35) - BS_DELTA("P",$B35,$E$4,$G35,$H35,$C35)</f>
        <v>0.98458033823735081</v>
      </c>
      <c r="L35" s="39" cm="1">
        <f t="array" ref="L35">BS_Gamma("P",$B35,$D$4,$F35,$H35,$C35) - BS_Gamma("P",$B35,$E$4,$G35,$H35,$C35)</f>
        <v>1.0311618017631327E-4</v>
      </c>
      <c r="M35" s="39" cm="1">
        <f t="array" ref="M35">BS_Theta("P",$B35,$D$4,$F35,$H35,$C35) - BS_Theta("P",$B35,$E$4,$G35,$H35,$C35)</f>
        <v>-47.578326681049326</v>
      </c>
      <c r="N35" s="39" cm="1">
        <f t="array" ref="N35">BS_Vega("P",$B35,$D$4,$F35,$H35,$C35) - BS_Vega("P",$B35,$E$4,$G35,$H35,$C35)</f>
        <v>29.060738467609411</v>
      </c>
      <c r="O35" s="49">
        <f t="shared" si="1"/>
        <v>2695.71</v>
      </c>
      <c r="P35" s="52">
        <f t="shared" si="2"/>
        <v>-12.309999999999945</v>
      </c>
      <c r="Q35" s="53">
        <f t="shared" si="10"/>
        <v>271.92000000000007</v>
      </c>
      <c r="R35" s="39">
        <f t="shared" si="3"/>
        <v>-12.609999999999673</v>
      </c>
      <c r="S35" s="54">
        <f t="shared" si="4"/>
        <v>8.6504368342476545E-3</v>
      </c>
      <c r="T35" s="54">
        <f t="shared" si="4"/>
        <v>-8.619974781848283E-4</v>
      </c>
      <c r="U35" s="39">
        <f t="shared" si="5"/>
        <v>8.21917808219178E-3</v>
      </c>
      <c r="V35" s="39">
        <f t="shared" si="6"/>
        <v>-12.438888998109642</v>
      </c>
      <c r="W35" s="39">
        <f t="shared" si="7"/>
        <v>-0.29277080491599156</v>
      </c>
      <c r="X35" s="39">
        <f t="shared" si="8"/>
        <v>0.4696959149297194</v>
      </c>
      <c r="Y35" s="51">
        <f t="shared" si="9"/>
        <v>-12.261963888095913</v>
      </c>
      <c r="Z35" s="39">
        <f t="shared" si="12"/>
        <v>272.5950407704409</v>
      </c>
      <c r="AA35" s="39">
        <f t="shared" si="12"/>
        <v>-2.019921534793697</v>
      </c>
      <c r="AB35" s="39">
        <f t="shared" si="12"/>
        <v>1.3403074219830975</v>
      </c>
      <c r="AC35" s="51">
        <f t="shared" si="12"/>
        <v>271.91542665763029</v>
      </c>
      <c r="AE35" s="39">
        <v>-9.8142920586909224</v>
      </c>
    </row>
    <row r="36" spans="1:31" ht="15.6">
      <c r="A36" s="40">
        <v>40036</v>
      </c>
      <c r="B36" s="39">
        <v>2650.94</v>
      </c>
      <c r="C36" s="47">
        <v>8.8299999999999993E-3</v>
      </c>
      <c r="D36" s="43">
        <v>4.5</v>
      </c>
      <c r="E36" s="43">
        <v>1.8</v>
      </c>
      <c r="F36" s="48">
        <v>0.40490927403168486</v>
      </c>
      <c r="G36" s="48">
        <v>0.47579914950782415</v>
      </c>
      <c r="H36" s="48">
        <f t="shared" si="0"/>
        <v>0.10410958904109589</v>
      </c>
      <c r="I36" s="60" cm="1">
        <f t="array" ref="I36">BS_Vega("P",$B36,$D$4,$F36,$H36,$C36)</f>
        <v>61.004552082493809</v>
      </c>
      <c r="J36" s="60" cm="1">
        <f t="array" ref="J36">BS_Vega("P",$B36,$E$4,$G36,$H36,$C36)</f>
        <v>27.013239488478536</v>
      </c>
      <c r="K36" s="39" cm="1">
        <f t="array" ref="K36">1 + BS_DELTA("P",$B36,$D$4,$F36,$H36,$C36) - BS_DELTA("P",$B36,$E$4,$G36,$H36,$C36)</f>
        <v>0.98039892625299874</v>
      </c>
      <c r="L36" s="39" cm="1">
        <f t="array" ref="L36">BS_Gamma("P",$B36,$D$4,$F36,$H36,$C36) - BS_Gamma("P",$B36,$E$4,$G36,$H36,$C36)</f>
        <v>1.283271953640044E-4</v>
      </c>
      <c r="M36" s="39" cm="1">
        <f t="array" ref="M36">BS_Theta("P",$B36,$D$4,$F36,$H36,$C36) - BS_Theta("P",$B36,$E$4,$G36,$H36,$C36)</f>
        <v>-56.42099717456049</v>
      </c>
      <c r="N36" s="39" cm="1">
        <f t="array" ref="N36">BS_Vega("P",$B36,$D$4,$F36,$H36,$C36) - BS_Vega("P",$B36,$E$4,$G36,$H36,$C36)</f>
        <v>33.99131259401527</v>
      </c>
      <c r="O36" s="49">
        <f t="shared" si="1"/>
        <v>2653.64</v>
      </c>
      <c r="P36" s="52">
        <f t="shared" si="2"/>
        <v>-42.070000000000164</v>
      </c>
      <c r="Q36" s="53">
        <f t="shared" si="10"/>
        <v>229.84999999999991</v>
      </c>
      <c r="R36" s="39">
        <f t="shared" si="3"/>
        <v>-42.670000000000073</v>
      </c>
      <c r="S36" s="54">
        <f t="shared" si="4"/>
        <v>3.550456061664431E-3</v>
      </c>
      <c r="T36" s="54">
        <f t="shared" si="4"/>
        <v>8.2557510383396981E-3</v>
      </c>
      <c r="U36" s="39">
        <f t="shared" si="5"/>
        <v>2.7397260273972603E-3</v>
      </c>
      <c r="V36" s="39">
        <f t="shared" si="6"/>
        <v>-42.012043032587833</v>
      </c>
      <c r="W36" s="39">
        <f t="shared" si="7"/>
        <v>-3.6478275295769705E-2</v>
      </c>
      <c r="X36" s="39">
        <f t="shared" si="8"/>
        <v>2.6575716697171958E-3</v>
      </c>
      <c r="Y36" s="51">
        <f t="shared" si="9"/>
        <v>-42.045863736213889</v>
      </c>
      <c r="Z36" s="39">
        <f t="shared" si="12"/>
        <v>230.58299773785308</v>
      </c>
      <c r="AA36" s="39">
        <f t="shared" si="12"/>
        <v>-2.0563998100894665</v>
      </c>
      <c r="AB36" s="39">
        <f t="shared" si="12"/>
        <v>1.3429649936528147</v>
      </c>
      <c r="AC36" s="51">
        <f t="shared" si="12"/>
        <v>229.86956292141639</v>
      </c>
      <c r="AE36" s="39">
        <v>-9.9245518707027198</v>
      </c>
    </row>
    <row r="37" spans="1:31" ht="15.6">
      <c r="A37" s="40">
        <v>40037</v>
      </c>
      <c r="B37" s="39">
        <v>2688.21</v>
      </c>
      <c r="C37" s="47">
        <v>8.7899999999999992E-3</v>
      </c>
      <c r="D37" s="43">
        <v>3.6</v>
      </c>
      <c r="E37" s="43">
        <v>1.5</v>
      </c>
      <c r="F37" s="48">
        <v>0.41328396836200404</v>
      </c>
      <c r="G37" s="48">
        <v>0.48672832550690059</v>
      </c>
      <c r="H37" s="48">
        <f t="shared" si="0"/>
        <v>0.10136986301369863</v>
      </c>
      <c r="I37" s="60" cm="1">
        <f t="array" ref="I37">BS_Vega("P",$B37,$D$4,$F37,$H37,$C37)</f>
        <v>51.08386876866895</v>
      </c>
      <c r="J37" s="60" cm="1">
        <f t="array" ref="J37">BS_Vega("P",$B37,$E$4,$G37,$H37,$C37)</f>
        <v>23.013530072836723</v>
      </c>
      <c r="K37" s="39" cm="1">
        <f t="array" ref="K37">1 + BS_DELTA("P",$B37,$D$4,$F37,$H37,$C37) - BS_DELTA("P",$B37,$E$4,$G37,$H37,$C37)</f>
        <v>0.9844672169695774</v>
      </c>
      <c r="L37" s="39" cm="1">
        <f t="array" ref="L37">BS_Gamma("P",$B37,$D$4,$F37,$H37,$C37) - BS_Gamma("P",$B37,$E$4,$G37,$H37,$C37)</f>
        <v>1.0418816302550465E-4</v>
      </c>
      <c r="M37" s="39" cm="1">
        <f t="array" ref="M37">BS_Theta("P",$B37,$D$4,$F37,$H37,$C37) - BS_Theta("P",$B37,$E$4,$G37,$H37,$C37)</f>
        <v>-48.498897299712105</v>
      </c>
      <c r="N37" s="39" cm="1">
        <f t="array" ref="N37">BS_Vega("P",$B37,$D$4,$F37,$H37,$C37) - BS_Vega("P",$B37,$E$4,$G37,$H37,$C37)</f>
        <v>28.070338695832227</v>
      </c>
      <c r="O37" s="49">
        <f t="shared" si="1"/>
        <v>2690.31</v>
      </c>
      <c r="P37" s="52">
        <f t="shared" si="2"/>
        <v>36.670000000000073</v>
      </c>
      <c r="Q37" s="53">
        <f t="shared" si="10"/>
        <v>266.52</v>
      </c>
      <c r="R37" s="39">
        <f t="shared" si="3"/>
        <v>37.269999999999982</v>
      </c>
      <c r="S37" s="54">
        <f t="shared" si="4"/>
        <v>8.3746943303191768E-3</v>
      </c>
      <c r="T37" s="54">
        <f t="shared" si="4"/>
        <v>1.0929175999076446E-2</v>
      </c>
      <c r="U37" s="39">
        <f t="shared" si="5"/>
        <v>2.7397260273972603E-3</v>
      </c>
      <c r="V37" s="39">
        <f t="shared" si="6"/>
        <v>36.539467981449242</v>
      </c>
      <c r="W37" s="39">
        <f t="shared" si="7"/>
        <v>-6.5451443016232333E-2</v>
      </c>
      <c r="X37" s="39">
        <f t="shared" si="8"/>
        <v>0.21566202777413812</v>
      </c>
      <c r="Y37" s="51">
        <f t="shared" si="9"/>
        <v>36.689678566207149</v>
      </c>
      <c r="Z37" s="39">
        <f t="shared" si="12"/>
        <v>267.12246571930234</v>
      </c>
      <c r="AA37" s="39">
        <f t="shared" si="12"/>
        <v>-2.121851253105699</v>
      </c>
      <c r="AB37" s="39">
        <f t="shared" si="12"/>
        <v>1.5586270214269529</v>
      </c>
      <c r="AC37" s="51">
        <f t="shared" si="12"/>
        <v>266.55924148762352</v>
      </c>
      <c r="AE37" s="39">
        <v>-10.104401757535429</v>
      </c>
    </row>
    <row r="38" spans="1:31" ht="15.6">
      <c r="A38" s="40">
        <v>40038</v>
      </c>
      <c r="B38" s="39">
        <v>2705.74</v>
      </c>
      <c r="C38" s="47">
        <v>8.7299999999999999E-3</v>
      </c>
      <c r="D38" s="43">
        <v>3</v>
      </c>
      <c r="E38" s="43">
        <v>1.2</v>
      </c>
      <c r="F38" s="48">
        <v>0.41505687826624971</v>
      </c>
      <c r="G38" s="48">
        <v>0.48677700398231294</v>
      </c>
      <c r="H38" s="48">
        <f t="shared" si="0"/>
        <v>9.8630136986301367E-2</v>
      </c>
      <c r="I38" s="60" cm="1">
        <f t="array" ref="I38">BS_Vega("P",$B38,$D$4,$F38,$H38,$C38)</f>
        <v>44.422516760452957</v>
      </c>
      <c r="J38" s="60" cm="1">
        <f t="array" ref="J38">BS_Vega("P",$B38,$E$4,$G38,$H38,$C38)</f>
        <v>19.279269065258472</v>
      </c>
      <c r="K38" s="39" cm="1">
        <f t="array" ref="K38">1 + BS_DELTA("P",$B38,$D$4,$F38,$H38,$C38) - BS_DELTA("P",$B38,$E$4,$G38,$H38,$C38)</f>
        <v>0.98642337405743052</v>
      </c>
      <c r="L38" s="39" cm="1">
        <f t="array" ref="L38">BS_Gamma("P",$B38,$D$4,$F38,$H38,$C38) - BS_Gamma("P",$B38,$E$4,$G38,$H38,$C38)</f>
        <v>9.3372112997078477E-5</v>
      </c>
      <c r="M38" s="39" cm="1">
        <f t="array" ref="M38">BS_Theta("P",$B38,$D$4,$F38,$H38,$C38) - BS_Theta("P",$B38,$E$4,$G38,$H38,$C38)</f>
        <v>-45.558114610250428</v>
      </c>
      <c r="N38" s="39" cm="1">
        <f t="array" ref="N38">BS_Vega("P",$B38,$D$4,$F38,$H38,$C38) - BS_Vega("P",$B38,$E$4,$G38,$H38,$C38)</f>
        <v>25.143247695194486</v>
      </c>
      <c r="O38" s="49">
        <f t="shared" si="1"/>
        <v>2707.54</v>
      </c>
      <c r="P38" s="52">
        <f t="shared" si="2"/>
        <v>17.230000000000018</v>
      </c>
      <c r="Q38" s="53">
        <f t="shared" si="10"/>
        <v>283.75</v>
      </c>
      <c r="R38" s="39">
        <f t="shared" si="3"/>
        <v>17.529999999999745</v>
      </c>
      <c r="S38" s="54">
        <f t="shared" si="4"/>
        <v>1.7729099042456675E-3</v>
      </c>
      <c r="T38" s="54">
        <f t="shared" si="4"/>
        <v>4.8678475412344824E-5</v>
      </c>
      <c r="U38" s="39">
        <f t="shared" si="5"/>
        <v>2.7397260273972603E-3</v>
      </c>
      <c r="V38" s="39">
        <f t="shared" si="6"/>
        <v>17.257710313476441</v>
      </c>
      <c r="W38" s="39">
        <f t="shared" si="7"/>
        <v>-0.11686513309854626</v>
      </c>
      <c r="X38" s="39">
        <f t="shared" si="8"/>
        <v>8.9446833329357267E-2</v>
      </c>
      <c r="Y38" s="51">
        <f t="shared" si="9"/>
        <v>17.230292013707253</v>
      </c>
      <c r="Z38" s="39">
        <f t="shared" si="12"/>
        <v>284.38017603277876</v>
      </c>
      <c r="AA38" s="39">
        <f t="shared" si="12"/>
        <v>-2.2387163862042452</v>
      </c>
      <c r="AB38" s="39">
        <f t="shared" si="12"/>
        <v>1.6480738547563101</v>
      </c>
      <c r="AC38" s="51">
        <f t="shared" si="12"/>
        <v>283.78953350133077</v>
      </c>
      <c r="AE38" s="39">
        <v>-10.362028884439317</v>
      </c>
    </row>
    <row r="39" spans="1:31" ht="15.6">
      <c r="A39" s="40">
        <v>40039</v>
      </c>
      <c r="B39" s="39">
        <v>2669.41</v>
      </c>
      <c r="C39" s="47">
        <v>8.6899999999999998E-3</v>
      </c>
      <c r="D39" s="43">
        <v>3.8</v>
      </c>
      <c r="E39" s="43">
        <v>1.4</v>
      </c>
      <c r="F39" s="48">
        <v>0.41898447890265761</v>
      </c>
      <c r="G39" s="48">
        <v>0.48732684578872976</v>
      </c>
      <c r="H39" s="48">
        <f t="shared" si="0"/>
        <v>9.5890410958904104E-2</v>
      </c>
      <c r="I39" s="60" cm="1">
        <f t="array" ref="I39">BS_Vega("P",$B39,$D$4,$F39,$H39,$C39)</f>
        <v>52.157742085147319</v>
      </c>
      <c r="J39" s="60" cm="1">
        <f t="array" ref="J39">BS_Vega("P",$B39,$E$4,$G39,$H39,$C39)</f>
        <v>21.639178305588516</v>
      </c>
      <c r="K39" s="39" cm="1">
        <f t="array" ref="K39">1 + BS_DELTA("P",$B39,$D$4,$F39,$H39,$C39) - BS_DELTA("P",$B39,$E$4,$G39,$H39,$C39)</f>
        <v>0.9823980821392535</v>
      </c>
      <c r="L39" s="39" cm="1">
        <f t="array" ref="L39">BS_Gamma("P",$B39,$D$4,$F39,$H39,$C39) - BS_Gamma("P",$B39,$E$4,$G39,$H39,$C39)</f>
        <v>1.1720080883419506E-4</v>
      </c>
      <c r="M39" s="39" cm="1">
        <f t="array" ref="M39">BS_Theta("P",$B39,$D$4,$F39,$H39,$C39) - BS_Theta("P",$B39,$E$4,$G39,$H39,$C39)</f>
        <v>-58.533616923644686</v>
      </c>
      <c r="N39" s="39" cm="1">
        <f t="array" ref="N39">BS_Vega("P",$B39,$D$4,$F39,$H39,$C39) - BS_Vega("P",$B39,$E$4,$G39,$H39,$C39)</f>
        <v>30.518563779558804</v>
      </c>
      <c r="O39" s="49">
        <f t="shared" si="1"/>
        <v>2671.81</v>
      </c>
      <c r="P39" s="52">
        <f t="shared" si="2"/>
        <v>-35.730000000000018</v>
      </c>
      <c r="Q39" s="53">
        <f t="shared" si="10"/>
        <v>248.01999999999998</v>
      </c>
      <c r="R39" s="39">
        <f t="shared" si="3"/>
        <v>-36.329999999999927</v>
      </c>
      <c r="S39" s="54">
        <f t="shared" si="4"/>
        <v>3.9276006364079019E-3</v>
      </c>
      <c r="T39" s="54">
        <f t="shared" si="4"/>
        <v>5.4984180641681757E-4</v>
      </c>
      <c r="U39" s="39">
        <f t="shared" si="5"/>
        <v>2.7397260273972603E-3</v>
      </c>
      <c r="V39" s="39">
        <f t="shared" si="6"/>
        <v>-35.836761179506382</v>
      </c>
      <c r="W39" s="39">
        <f t="shared" si="7"/>
        <v>-6.3197278320785893E-2</v>
      </c>
      <c r="X39" s="39">
        <f t="shared" si="8"/>
        <v>0.16387335696995814</v>
      </c>
      <c r="Y39" s="51">
        <f t="shared" si="9"/>
        <v>-35.73608510085721</v>
      </c>
      <c r="Z39" s="39">
        <f t="shared" si="12"/>
        <v>248.5434148532724</v>
      </c>
      <c r="AA39" s="39">
        <f t="shared" si="12"/>
        <v>-2.3019136645250309</v>
      </c>
      <c r="AB39" s="39">
        <f t="shared" si="12"/>
        <v>1.8119472117262683</v>
      </c>
      <c r="AC39" s="51">
        <f t="shared" si="12"/>
        <v>248.05344840047354</v>
      </c>
      <c r="AE39" s="39">
        <v>-10.518804569120878</v>
      </c>
    </row>
    <row r="40" spans="1:31" ht="15.6">
      <c r="A40" s="40">
        <v>40042</v>
      </c>
      <c r="B40" s="39">
        <v>2603.79</v>
      </c>
      <c r="C40" s="47">
        <v>8.6099999999999996E-3</v>
      </c>
      <c r="D40" s="43">
        <v>6.8</v>
      </c>
      <c r="E40" s="43">
        <v>2.7</v>
      </c>
      <c r="F40" s="48">
        <v>0.4486332368871947</v>
      </c>
      <c r="G40" s="48">
        <v>0.52541870249178257</v>
      </c>
      <c r="H40" s="48">
        <f t="shared" si="0"/>
        <v>8.7671232876712329E-2</v>
      </c>
      <c r="I40" s="60" cm="1">
        <f t="array" ref="I40">BS_Vega("P",$B40,$D$4,$F40,$H40,$C40)</f>
        <v>73.641635539510446</v>
      </c>
      <c r="J40" s="60" cm="1">
        <f t="array" ref="J40">BS_Vega("P",$B40,$E$4,$G40,$H40,$C40)</f>
        <v>33.333538358741329</v>
      </c>
      <c r="K40" s="39" cm="1">
        <f t="array" ref="K40">1 + BS_DELTA("P",$B40,$D$4,$F40,$H40,$C40) - BS_DELTA("P",$B40,$E$4,$G40,$H40,$C40)</f>
        <v>0.97207682505544535</v>
      </c>
      <c r="L40" s="39" cm="1">
        <f t="array" ref="L40">BS_Gamma("P",$B40,$D$4,$F40,$H40,$C40) - BS_Gamma("P",$B40,$E$4,$G40,$H40,$C40)</f>
        <v>1.6942638537248802E-4</v>
      </c>
      <c r="M40" s="39" cm="1">
        <f t="array" ref="M40">BS_Theta("P",$B40,$D$4,$F40,$H40,$C40) - BS_Theta("P",$B40,$E$4,$G40,$H40,$C40)</f>
        <v>-87.874131017320238</v>
      </c>
      <c r="N40" s="39" cm="1">
        <f t="array" ref="N40">BS_Vega("P",$B40,$D$4,$F40,$H40,$C40) - BS_Vega("P",$B40,$E$4,$G40,$H40,$C40)</f>
        <v>40.308097180769117</v>
      </c>
      <c r="O40" s="49">
        <f t="shared" si="1"/>
        <v>2607.8900000000003</v>
      </c>
      <c r="P40" s="52">
        <f t="shared" si="2"/>
        <v>-63.919999999999618</v>
      </c>
      <c r="Q40" s="53">
        <f t="shared" si="10"/>
        <v>184.10000000000036</v>
      </c>
      <c r="R40" s="39">
        <f t="shared" si="3"/>
        <v>-65.619999999999891</v>
      </c>
      <c r="S40" s="54">
        <f t="shared" si="4"/>
        <v>2.9648757984537089E-2</v>
      </c>
      <c r="T40" s="54">
        <f t="shared" si="4"/>
        <v>3.8091856703052818E-2</v>
      </c>
      <c r="U40" s="39">
        <f t="shared" si="5"/>
        <v>8.21917808219178E-3</v>
      </c>
      <c r="V40" s="39">
        <f t="shared" si="6"/>
        <v>-64.464962149977708</v>
      </c>
      <c r="W40" s="39">
        <f t="shared" si="7"/>
        <v>-0.22876579403651803</v>
      </c>
      <c r="X40" s="39">
        <f t="shared" si="8"/>
        <v>0.72213579291415075</v>
      </c>
      <c r="Y40" s="51">
        <f t="shared" si="9"/>
        <v>-63.971592151100076</v>
      </c>
      <c r="Z40" s="39">
        <f t="shared" si="12"/>
        <v>184.07845270329469</v>
      </c>
      <c r="AA40" s="39">
        <f t="shared" si="12"/>
        <v>-2.5306794585615489</v>
      </c>
      <c r="AB40" s="39">
        <f t="shared" si="12"/>
        <v>2.534083004640419</v>
      </c>
      <c r="AC40" s="51">
        <f t="shared" si="12"/>
        <v>184.08185624937346</v>
      </c>
      <c r="AE40" s="39">
        <v>-11.057633518467524</v>
      </c>
    </row>
    <row r="41" spans="1:31" ht="15.6">
      <c r="A41" s="40">
        <v>40043</v>
      </c>
      <c r="B41" s="39">
        <v>2630.6</v>
      </c>
      <c r="C41" s="47">
        <v>8.5900000000000004E-3</v>
      </c>
      <c r="D41" s="43">
        <v>5</v>
      </c>
      <c r="E41" s="43">
        <v>2.2000000000000002</v>
      </c>
      <c r="F41" s="48">
        <v>0.44483197816224662</v>
      </c>
      <c r="G41" s="48">
        <v>0.53143675196891582</v>
      </c>
      <c r="H41" s="48">
        <f t="shared" si="0"/>
        <v>8.4931506849315067E-2</v>
      </c>
      <c r="I41" s="60" cm="1">
        <f t="array" ref="I41">BS_Vega("P",$B41,$D$4,$F41,$H41,$C41)</f>
        <v>59.639970034822319</v>
      </c>
      <c r="J41" s="60" cm="1">
        <f t="array" ref="J41">BS_Vega("P",$B41,$E$4,$G41,$H41,$C41)</f>
        <v>28.234283128610205</v>
      </c>
      <c r="K41" s="39" cm="1">
        <f t="array" ref="K41">1 + BS_DELTA("P",$B41,$D$4,$F41,$H41,$C41) - BS_DELTA("P",$B41,$E$4,$G41,$H41,$C41)</f>
        <v>0.97923174342585684</v>
      </c>
      <c r="L41" s="39" cm="1">
        <f t="array" ref="L41">BS_Gamma("P",$B41,$D$4,$F41,$H41,$C41) - BS_Gamma("P",$B41,$E$4,$G41,$H41,$C41)</f>
        <v>1.3772430503056438E-4</v>
      </c>
      <c r="M41" s="39" cm="1">
        <f t="array" ref="M41">BS_Theta("P",$B41,$D$4,$F41,$H41,$C41) - BS_Theta("P",$B41,$E$4,$G41,$H41,$C41)</f>
        <v>-67.355618427908453</v>
      </c>
      <c r="N41" s="39" cm="1">
        <f t="array" ref="N41">BS_Vega("P",$B41,$D$4,$F41,$H41,$C41) - BS_Vega("P",$B41,$E$4,$G41,$H41,$C41)</f>
        <v>31.405686906212114</v>
      </c>
      <c r="O41" s="49">
        <f t="shared" si="1"/>
        <v>2633.4</v>
      </c>
      <c r="P41" s="52">
        <f t="shared" si="2"/>
        <v>25.509999999999764</v>
      </c>
      <c r="Q41" s="53">
        <f t="shared" si="10"/>
        <v>209.61000000000013</v>
      </c>
      <c r="R41" s="39">
        <f t="shared" si="3"/>
        <v>26.809999999999945</v>
      </c>
      <c r="S41" s="54">
        <f t="shared" si="4"/>
        <v>-3.8012587249480756E-3</v>
      </c>
      <c r="T41" s="54">
        <f t="shared" si="4"/>
        <v>6.0180494771332471E-3</v>
      </c>
      <c r="U41" s="39">
        <f t="shared" si="5"/>
        <v>2.7397260273972603E-3</v>
      </c>
      <c r="V41" s="39">
        <f t="shared" si="6"/>
        <v>26.061379679736437</v>
      </c>
      <c r="W41" s="39">
        <f t="shared" si="7"/>
        <v>-0.17986122562550239</v>
      </c>
      <c r="X41" s="39">
        <f t="shared" si="8"/>
        <v>-0.48053379270483465</v>
      </c>
      <c r="Y41" s="51">
        <f t="shared" si="9"/>
        <v>25.400984661406099</v>
      </c>
      <c r="Z41" s="39">
        <f t="shared" ref="Z41:AC49" si="13">Z40+V41</f>
        <v>210.13983238303112</v>
      </c>
      <c r="AA41" s="39">
        <f t="shared" si="13"/>
        <v>-2.7105406841870514</v>
      </c>
      <c r="AB41" s="39">
        <f t="shared" si="13"/>
        <v>2.0535492119355845</v>
      </c>
      <c r="AC41" s="51">
        <f t="shared" si="13"/>
        <v>209.48284091077954</v>
      </c>
      <c r="AE41" s="39">
        <v>-11.471653597090761</v>
      </c>
    </row>
    <row r="42" spans="1:31" ht="15.6">
      <c r="A42" s="40">
        <v>40044</v>
      </c>
      <c r="B42" s="39">
        <v>2622.88</v>
      </c>
      <c r="C42" s="47">
        <v>8.539999999999999E-3</v>
      </c>
      <c r="D42" s="43">
        <v>5.5</v>
      </c>
      <c r="E42" s="43">
        <v>2</v>
      </c>
      <c r="F42" s="48">
        <v>0.45571799691409015</v>
      </c>
      <c r="G42" s="48">
        <v>0.5287518004449745</v>
      </c>
      <c r="H42" s="48">
        <f t="shared" si="0"/>
        <v>8.2191780821917804E-2</v>
      </c>
      <c r="I42" s="60" cm="1">
        <f t="array" ref="I42">BS_Vega("P",$B42,$D$4,$F42,$H42,$C42)</f>
        <v>62.360643571743374</v>
      </c>
      <c r="J42" s="60" cm="1">
        <f t="array" ref="J42">BS_Vega("P",$B42,$E$4,$G42,$H42,$C42)</f>
        <v>26.246080527245528</v>
      </c>
      <c r="K42" s="39" cm="1">
        <f t="array" ref="K42">1 + BS_DELTA("P",$B42,$D$4,$F42,$H42,$C42) - BS_DELTA("P",$B42,$E$4,$G42,$H42,$C42)</f>
        <v>0.97548519392756428</v>
      </c>
      <c r="L42" s="39" cm="1">
        <f t="array" ref="L42">BS_Gamma("P",$B42,$D$4,$F42,$H42,$C42) - BS_Gamma("P",$B42,$E$4,$G42,$H42,$C42)</f>
        <v>1.5422126984187978E-4</v>
      </c>
      <c r="M42" s="39" cm="1">
        <f t="array" ref="M42">BS_Theta("P",$B42,$D$4,$F42,$H42,$C42) - BS_Theta("P",$B42,$E$4,$G42,$H42,$C42)</f>
        <v>-87.87999172228217</v>
      </c>
      <c r="N42" s="39" cm="1">
        <f t="array" ref="N42">BS_Vega("P",$B42,$D$4,$F42,$H42,$C42) - BS_Vega("P",$B42,$E$4,$G42,$H42,$C42)</f>
        <v>36.114563044497842</v>
      </c>
      <c r="O42" s="49">
        <f t="shared" si="1"/>
        <v>2626.38</v>
      </c>
      <c r="P42" s="52">
        <f t="shared" si="2"/>
        <v>-7.0199999999999818</v>
      </c>
      <c r="Q42" s="53">
        <f t="shared" si="10"/>
        <v>202.59000000000015</v>
      </c>
      <c r="R42" s="39">
        <f t="shared" si="3"/>
        <v>-7.7199999999997999</v>
      </c>
      <c r="S42" s="54">
        <f t="shared" si="4"/>
        <v>1.0886018751843529E-2</v>
      </c>
      <c r="T42" s="54">
        <f t="shared" si="4"/>
        <v>-2.6849515239413257E-3</v>
      </c>
      <c r="U42" s="39">
        <f t="shared" si="5"/>
        <v>2.7397260273972603E-3</v>
      </c>
      <c r="V42" s="39">
        <f t="shared" si="6"/>
        <v>-7.5596690592474189</v>
      </c>
      <c r="W42" s="39">
        <f t="shared" si="7"/>
        <v>-0.18043186678791273</v>
      </c>
      <c r="X42" s="39">
        <f t="shared" si="8"/>
        <v>0.72504951367201476</v>
      </c>
      <c r="Y42" s="51">
        <f t="shared" si="9"/>
        <v>-7.0150514123633174</v>
      </c>
      <c r="Z42" s="39">
        <f t="shared" si="13"/>
        <v>202.58016332378369</v>
      </c>
      <c r="AA42" s="39">
        <f t="shared" si="13"/>
        <v>-2.890972550974964</v>
      </c>
      <c r="AB42" s="39">
        <f t="shared" si="13"/>
        <v>2.7785987256075995</v>
      </c>
      <c r="AC42" s="51">
        <f t="shared" si="13"/>
        <v>202.46778949841624</v>
      </c>
      <c r="AE42" s="39">
        <v>-11.890452833203762</v>
      </c>
    </row>
    <row r="43" spans="1:31" ht="15.6">
      <c r="A43" s="40">
        <v>40045</v>
      </c>
      <c r="B43" s="39">
        <v>2663.67</v>
      </c>
      <c r="C43" s="47">
        <v>8.5100000000000002E-3</v>
      </c>
      <c r="D43" s="43">
        <v>3.4</v>
      </c>
      <c r="E43" s="43">
        <v>1.4</v>
      </c>
      <c r="F43" s="48">
        <v>0.44805769971325271</v>
      </c>
      <c r="G43" s="48">
        <v>0.53229251860817639</v>
      </c>
      <c r="H43" s="48">
        <f t="shared" si="0"/>
        <v>7.9452054794520555E-2</v>
      </c>
      <c r="I43" s="60" cm="1">
        <f t="array" ref="I43">BS_Vega("P",$B43,$D$4,$F43,$H43,$C43)</f>
        <v>44.64558885973797</v>
      </c>
      <c r="J43" s="60" cm="1">
        <f t="array" ref="J43">BS_Vega("P",$B43,$E$4,$G43,$H43,$C43)</f>
        <v>19.781999143383928</v>
      </c>
      <c r="K43" s="39" cm="1">
        <f t="array" ref="K43">1 + BS_DELTA("P",$B43,$D$4,$F43,$H43,$C43) - BS_DELTA("P",$B43,$E$4,$G43,$H43,$C43)</f>
        <v>0.98434867767122236</v>
      </c>
      <c r="L43" s="39" cm="1">
        <f t="array" ref="L43">BS_Gamma("P",$B43,$D$4,$F43,$H43,$C43) - BS_Gamma("P",$B43,$E$4,$G43,$H43,$C43)</f>
        <v>1.1083225814433544E-4</v>
      </c>
      <c r="M43" s="39" cm="1">
        <f t="array" ref="M43">BS_Theta("P",$B43,$D$4,$F43,$H43,$C43) - BS_Theta("P",$B43,$E$4,$G43,$H43,$C43)</f>
        <v>-59.248995707688394</v>
      </c>
      <c r="N43" s="39" cm="1">
        <f t="array" ref="N43">BS_Vega("P",$B43,$D$4,$F43,$H43,$C43) - BS_Vega("P",$B43,$E$4,$G43,$H43,$C43)</f>
        <v>24.863589716354042</v>
      </c>
      <c r="O43" s="49">
        <f t="shared" si="1"/>
        <v>2665.67</v>
      </c>
      <c r="P43" s="52">
        <f t="shared" si="2"/>
        <v>39.289999999999964</v>
      </c>
      <c r="Q43" s="53">
        <f t="shared" si="10"/>
        <v>241.88000000000011</v>
      </c>
      <c r="R43" s="39">
        <f t="shared" si="3"/>
        <v>40.789999999999964</v>
      </c>
      <c r="S43" s="54">
        <f t="shared" si="4"/>
        <v>-7.6602972008374404E-3</v>
      </c>
      <c r="T43" s="54">
        <f t="shared" si="4"/>
        <v>3.5407181632018947E-3</v>
      </c>
      <c r="U43" s="39">
        <f t="shared" si="5"/>
        <v>2.7397260273972603E-3</v>
      </c>
      <c r="V43" s="39">
        <f t="shared" si="6"/>
        <v>39.790041060305313</v>
      </c>
      <c r="W43" s="39">
        <f t="shared" si="7"/>
        <v>-0.11246856786123111</v>
      </c>
      <c r="X43" s="39">
        <f t="shared" si="8"/>
        <v>-0.57063103743072485</v>
      </c>
      <c r="Y43" s="51">
        <f t="shared" si="9"/>
        <v>39.106941455013363</v>
      </c>
      <c r="Z43" s="39">
        <f t="shared" si="13"/>
        <v>242.37020438408899</v>
      </c>
      <c r="AA43" s="39">
        <f t="shared" si="13"/>
        <v>-3.0034411188361951</v>
      </c>
      <c r="AB43" s="39">
        <f t="shared" si="13"/>
        <v>2.2079676881768746</v>
      </c>
      <c r="AC43" s="51">
        <f t="shared" si="13"/>
        <v>241.57473095342959</v>
      </c>
      <c r="AE43" s="39">
        <v>-12.160301061636909</v>
      </c>
    </row>
    <row r="44" spans="1:31" ht="15.6">
      <c r="A44" s="40">
        <v>40046</v>
      </c>
      <c r="B44" s="39">
        <v>2745.62</v>
      </c>
      <c r="C44" s="47">
        <v>8.4899999999999993E-3</v>
      </c>
      <c r="D44" s="43">
        <v>1.9</v>
      </c>
      <c r="E44" s="43">
        <v>1.1000000000000001</v>
      </c>
      <c r="F44" s="48">
        <v>0.45910326723331346</v>
      </c>
      <c r="G44" s="48">
        <v>0.56476649139644319</v>
      </c>
      <c r="H44" s="48">
        <f t="shared" si="0"/>
        <v>7.6712328767123292E-2</v>
      </c>
      <c r="I44" s="60" cm="1">
        <f t="array" ref="I44">BS_Vega("P",$B44,$D$4,$F44,$H44,$C44)</f>
        <v>28.377751352054748</v>
      </c>
      <c r="J44" s="60" cm="1">
        <f t="array" ref="J44">BS_Vega("P",$B44,$E$4,$G44,$H44,$C44)</f>
        <v>15.612404950586491</v>
      </c>
      <c r="K44" s="39" cm="1">
        <f t="array" ref="K44">1 + BS_DELTA("P",$B44,$D$4,$F44,$H44,$C44) - BS_DELTA("P",$B44,$E$4,$G44,$H44,$C44)</f>
        <v>0.9926811926486675</v>
      </c>
      <c r="L44" s="39" cm="1">
        <f t="array" ref="L44">BS_Gamma("P",$B44,$D$4,$F44,$H44,$C44) - BS_Gamma("P",$B44,$E$4,$G44,$H44,$C44)</f>
        <v>5.9083215492638873E-5</v>
      </c>
      <c r="M44" s="39" cm="1">
        <f t="array" ref="M44">BS_Theta("P",$B44,$D$4,$F44,$H44,$C44) - BS_Theta("P",$B44,$E$4,$G44,$H44,$C44)</f>
        <v>-27.269008708191528</v>
      </c>
      <c r="N44" s="39" cm="1">
        <f t="array" ref="N44">BS_Vega("P",$B44,$D$4,$F44,$H44,$C44) - BS_Vega("P",$B44,$E$4,$G44,$H44,$C44)</f>
        <v>12.765346401468257</v>
      </c>
      <c r="O44" s="49">
        <f t="shared" si="1"/>
        <v>2746.42</v>
      </c>
      <c r="P44" s="52">
        <f t="shared" si="2"/>
        <v>80.75</v>
      </c>
      <c r="Q44" s="53">
        <f t="shared" si="10"/>
        <v>322.63000000000011</v>
      </c>
      <c r="R44" s="39">
        <f t="shared" si="3"/>
        <v>81.949999999999818</v>
      </c>
      <c r="S44" s="54">
        <f t="shared" si="4"/>
        <v>1.1045567520060751E-2</v>
      </c>
      <c r="T44" s="54">
        <f t="shared" si="4"/>
        <v>3.2473972788266803E-2</v>
      </c>
      <c r="U44" s="39">
        <f t="shared" si="5"/>
        <v>2.7397260273972603E-3</v>
      </c>
      <c r="V44" s="39">
        <f t="shared" si="6"/>
        <v>80.667374135156493</v>
      </c>
      <c r="W44" s="39">
        <f t="shared" si="7"/>
        <v>0.20983776252568251</v>
      </c>
      <c r="X44" s="39">
        <f t="shared" si="8"/>
        <v>-0.14926423565665914</v>
      </c>
      <c r="Y44" s="51">
        <f t="shared" si="9"/>
        <v>80.727947662025514</v>
      </c>
      <c r="Z44" s="39">
        <f t="shared" si="13"/>
        <v>323.03757851924547</v>
      </c>
      <c r="AA44" s="39">
        <f t="shared" si="13"/>
        <v>-2.7936033563105127</v>
      </c>
      <c r="AB44" s="39">
        <f t="shared" si="13"/>
        <v>2.0587034525202155</v>
      </c>
      <c r="AC44" s="51">
        <f t="shared" si="13"/>
        <v>322.30267861545508</v>
      </c>
      <c r="AE44" s="39">
        <v>-11.909994671158438</v>
      </c>
    </row>
    <row r="45" spans="1:31" ht="15.6">
      <c r="A45" s="40">
        <v>40049</v>
      </c>
      <c r="B45" s="39">
        <v>2778.34</v>
      </c>
      <c r="C45" s="47">
        <v>8.43E-3</v>
      </c>
      <c r="D45" s="43">
        <v>1.8</v>
      </c>
      <c r="E45" s="43">
        <v>0.9</v>
      </c>
      <c r="F45" s="48">
        <v>0.49968884348255727</v>
      </c>
      <c r="G45" s="48">
        <v>0.59911240722341386</v>
      </c>
      <c r="H45" s="48">
        <f t="shared" si="0"/>
        <v>6.8493150684931503E-2</v>
      </c>
      <c r="I45" s="60" cm="1">
        <f t="array" ref="I45">BS_Vega("P",$B45,$D$4,$F45,$H45,$C45)</f>
        <v>25.217879087900243</v>
      </c>
      <c r="J45" s="60" cm="1">
        <f t="array" ref="J45">BS_Vega("P",$B45,$E$4,$G45,$H45,$C45)</f>
        <v>12.567031850477944</v>
      </c>
      <c r="K45" s="39" cm="1">
        <f t="array" ref="K45">1 + BS_DELTA("P",$B45,$D$4,$F45,$H45,$C45) - BS_DELTA("P",$B45,$E$4,$G45,$H45,$C45)</f>
        <v>0.99256788071154123</v>
      </c>
      <c r="L45" s="39" cm="1">
        <f t="array" ref="L45">BS_Gamma("P",$B45,$D$4,$F45,$H45,$C45) - BS_Gamma("P",$B45,$E$4,$G45,$H45,$C45)</f>
        <v>5.5779262282030156E-5</v>
      </c>
      <c r="M45" s="39" cm="1">
        <f t="array" ref="M45">BS_Theta("P",$B45,$D$4,$F45,$H45,$C45) - BS_Theta("P",$B45,$E$4,$G45,$H45,$C45)</f>
        <v>-36.844147685553764</v>
      </c>
      <c r="N45" s="39" cm="1">
        <f t="array" ref="N45">BS_Vega("P",$B45,$D$4,$F45,$H45,$C45) - BS_Vega("P",$B45,$E$4,$G45,$H45,$C45)</f>
        <v>12.650847237422299</v>
      </c>
      <c r="O45" s="49">
        <f t="shared" si="1"/>
        <v>2779.2400000000002</v>
      </c>
      <c r="P45" s="52">
        <f t="shared" si="2"/>
        <v>32.820000000000164</v>
      </c>
      <c r="Q45" s="53">
        <f t="shared" si="10"/>
        <v>355.45000000000027</v>
      </c>
      <c r="R45" s="39">
        <f t="shared" si="3"/>
        <v>32.720000000000255</v>
      </c>
      <c r="S45" s="54">
        <f t="shared" si="4"/>
        <v>4.0585576249243804E-2</v>
      </c>
      <c r="T45" s="54">
        <f t="shared" si="4"/>
        <v>3.4345915826970663E-2</v>
      </c>
      <c r="U45" s="39">
        <f t="shared" si="5"/>
        <v>8.21917808219178E-3</v>
      </c>
      <c r="V45" s="39">
        <f t="shared" si="6"/>
        <v>32.48052862346465</v>
      </c>
      <c r="W45" s="39">
        <f t="shared" si="7"/>
        <v>-0.1925016407108269</v>
      </c>
      <c r="X45" s="39">
        <f t="shared" si="8"/>
        <v>0.61550504499147574</v>
      </c>
      <c r="Y45" s="51">
        <f t="shared" si="9"/>
        <v>32.903532027745293</v>
      </c>
      <c r="Z45" s="39">
        <f t="shared" si="13"/>
        <v>355.51810714271011</v>
      </c>
      <c r="AA45" s="39">
        <f t="shared" si="13"/>
        <v>-2.9861049970213398</v>
      </c>
      <c r="AB45" s="39">
        <f t="shared" si="13"/>
        <v>2.6742084975116911</v>
      </c>
      <c r="AC45" s="51">
        <f t="shared" si="13"/>
        <v>355.20621064320039</v>
      </c>
      <c r="AE45" s="39">
        <v>-12.547766549789783</v>
      </c>
    </row>
    <row r="46" spans="1:31" ht="15.6">
      <c r="A46" s="40">
        <v>40050</v>
      </c>
      <c r="B46" s="39">
        <v>2801.14</v>
      </c>
      <c r="C46" s="47">
        <v>8.3800000000000003E-3</v>
      </c>
      <c r="D46" s="43">
        <v>1.6</v>
      </c>
      <c r="E46" s="43">
        <v>0.8</v>
      </c>
      <c r="F46" s="48">
        <v>0.51381276545783772</v>
      </c>
      <c r="G46" s="48">
        <v>0.6141041160546552</v>
      </c>
      <c r="H46" s="48">
        <f t="shared" si="0"/>
        <v>6.575342465753424E-2</v>
      </c>
      <c r="I46" s="60" cm="1">
        <f t="array" ref="I46">BS_Vega("P",$B46,$D$4,$F46,$H46,$C46)</f>
        <v>22.460102609043801</v>
      </c>
      <c r="J46" s="60" cm="1">
        <f t="array" ref="J46">BS_Vega("P",$B46,$E$4,$G46,$H46,$C46)</f>
        <v>11.174355806010233</v>
      </c>
      <c r="K46" s="39" cm="1">
        <f t="array" ref="K46">1 + BS_DELTA("P",$B46,$D$4,$F46,$H46,$C46) - BS_DELTA("P",$B46,$E$4,$G46,$H46,$C46)</f>
        <v>0.99341270213237853</v>
      </c>
      <c r="L46" s="39" cm="1">
        <f t="array" ref="L46">BS_Gamma("P",$B46,$D$4,$F46,$H46,$C46) - BS_Gamma("P",$B46,$E$4,$G46,$H46,$C46)</f>
        <v>4.9457470612383764E-5</v>
      </c>
      <c r="M46" s="39" cm="1">
        <f t="array" ref="M46">BS_Theta("P",$B46,$D$4,$F46,$H46,$C46) - BS_Theta("P",$B46,$E$4,$G46,$H46,$C46)</f>
        <v>-35.411489168073842</v>
      </c>
      <c r="N46" s="39" cm="1">
        <f t="array" ref="N46">BS_Vega("P",$B46,$D$4,$F46,$H46,$C46) - BS_Vega("P",$B46,$E$4,$G46,$H46,$C46)</f>
        <v>11.285746803033568</v>
      </c>
      <c r="O46" s="49">
        <f t="shared" si="1"/>
        <v>2801.9399999999996</v>
      </c>
      <c r="P46" s="52">
        <f t="shared" si="2"/>
        <v>22.699999999999363</v>
      </c>
      <c r="Q46" s="53">
        <f t="shared" si="10"/>
        <v>378.14999999999964</v>
      </c>
      <c r="R46" s="39">
        <f t="shared" si="3"/>
        <v>22.799999999999727</v>
      </c>
      <c r="S46" s="54">
        <f t="shared" si="4"/>
        <v>1.4123921975280451E-2</v>
      </c>
      <c r="T46" s="54">
        <f t="shared" si="4"/>
        <v>1.4991708831241346E-2</v>
      </c>
      <c r="U46" s="39">
        <f t="shared" si="5"/>
        <v>2.7397260273972603E-3</v>
      </c>
      <c r="V46" s="39">
        <f t="shared" si="6"/>
        <v>22.630547680222868</v>
      </c>
      <c r="W46" s="39">
        <f t="shared" si="7"/>
        <v>-8.6444724519035246E-2</v>
      </c>
      <c r="X46" s="39">
        <f t="shared" si="8"/>
        <v>0.16777407424425811</v>
      </c>
      <c r="Y46" s="51">
        <f t="shared" si="9"/>
        <v>22.711877029948088</v>
      </c>
      <c r="Z46" s="39">
        <f t="shared" si="13"/>
        <v>378.148654822933</v>
      </c>
      <c r="AA46" s="39">
        <f t="shared" si="13"/>
        <v>-3.072549721540375</v>
      </c>
      <c r="AB46" s="39">
        <f t="shared" si="13"/>
        <v>2.841982571755949</v>
      </c>
      <c r="AC46" s="51">
        <f t="shared" si="13"/>
        <v>377.91808767314848</v>
      </c>
      <c r="AE46" s="39">
        <v>-12.774067525614894</v>
      </c>
    </row>
    <row r="47" spans="1:31" ht="15.6">
      <c r="A47" s="40">
        <v>40051</v>
      </c>
      <c r="B47" s="39">
        <v>2788.9</v>
      </c>
      <c r="C47" s="47">
        <v>8.3400000000000002E-3</v>
      </c>
      <c r="D47" s="43">
        <v>1.6</v>
      </c>
      <c r="E47" s="43">
        <v>0.8</v>
      </c>
      <c r="F47" s="48">
        <v>0.51811207964437511</v>
      </c>
      <c r="G47" s="48">
        <v>0.62118304880995401</v>
      </c>
      <c r="H47" s="48">
        <f t="shared" si="0"/>
        <v>6.3013698630136991E-2</v>
      </c>
      <c r="I47" s="60" cm="1">
        <f t="array" ref="I47">BS_Vega("P",$B47,$D$4,$F47,$H47,$C47)</f>
        <v>22.197435132528042</v>
      </c>
      <c r="J47" s="60" cm="1">
        <f t="array" ref="J47">BS_Vega("P",$B47,$E$4,$G47,$H47,$C47)</f>
        <v>11.02121535475858</v>
      </c>
      <c r="K47" s="39" cm="1">
        <f t="array" ref="K47">1 + BS_DELTA("P",$B47,$D$4,$F47,$H47,$C47) - BS_DELTA("P",$B47,$E$4,$G47,$H47,$C47)</f>
        <v>0.9932914795777158</v>
      </c>
      <c r="L47" s="39" cm="1">
        <f t="array" ref="L47">BS_Gamma("P",$B47,$D$4,$F47,$H47,$C47) - BS_Gamma("P",$B47,$E$4,$G47,$H47,$C47)</f>
        <v>5.1213403183534884E-5</v>
      </c>
      <c r="M47" s="39" cm="1">
        <f t="array" ref="M47">BS_Theta("P",$B47,$D$4,$F47,$H47,$C47) - BS_Theta("P",$B47,$E$4,$G47,$H47,$C47)</f>
        <v>-36.770269929216205</v>
      </c>
      <c r="N47" s="39" cm="1">
        <f t="array" ref="N47">BS_Vega("P",$B47,$D$4,$F47,$H47,$C47) - BS_Vega("P",$B47,$E$4,$G47,$H47,$C47)</f>
        <v>11.176219777769463</v>
      </c>
      <c r="O47" s="49">
        <f t="shared" si="1"/>
        <v>2789.7</v>
      </c>
      <c r="P47" s="52">
        <f t="shared" si="2"/>
        <v>-12.239999999999782</v>
      </c>
      <c r="Q47" s="53">
        <f t="shared" si="10"/>
        <v>365.90999999999985</v>
      </c>
      <c r="R47" s="39">
        <f t="shared" si="3"/>
        <v>-12.239999999999782</v>
      </c>
      <c r="S47" s="54">
        <f t="shared" si="4"/>
        <v>4.2993141865373952E-3</v>
      </c>
      <c r="T47" s="54">
        <f t="shared" si="4"/>
        <v>7.0789327552988057E-3</v>
      </c>
      <c r="U47" s="39">
        <f t="shared" si="5"/>
        <v>2.7397260273972603E-3</v>
      </c>
      <c r="V47" s="39">
        <f t="shared" si="6"/>
        <v>-12.159371474100096</v>
      </c>
      <c r="W47" s="39">
        <f t="shared" si="7"/>
        <v>-9.331297876805926E-2</v>
      </c>
      <c r="X47" s="39">
        <f t="shared" si="8"/>
        <v>1.7460524443618355E-2</v>
      </c>
      <c r="Y47" s="51">
        <f t="shared" si="9"/>
        <v>-12.235223928424537</v>
      </c>
      <c r="Z47" s="39">
        <f t="shared" si="13"/>
        <v>365.98928334883288</v>
      </c>
      <c r="AA47" s="39">
        <f t="shared" si="13"/>
        <v>-3.1658627003084341</v>
      </c>
      <c r="AB47" s="39">
        <f t="shared" si="13"/>
        <v>2.8594430961995676</v>
      </c>
      <c r="AC47" s="51">
        <f t="shared" si="13"/>
        <v>365.68286374472393</v>
      </c>
      <c r="AE47" s="39">
        <v>-13.007333947806519</v>
      </c>
    </row>
    <row r="48" spans="1:31" ht="15.6">
      <c r="A48" s="40">
        <v>40052</v>
      </c>
      <c r="B48" s="39">
        <v>2777.62</v>
      </c>
      <c r="C48" s="47">
        <v>8.2899999999999988E-3</v>
      </c>
      <c r="D48" s="43">
        <v>1.4</v>
      </c>
      <c r="E48" s="43">
        <v>0.8</v>
      </c>
      <c r="F48" s="48">
        <v>0.51381164095262888</v>
      </c>
      <c r="G48" s="48">
        <v>0.62933246291931788</v>
      </c>
      <c r="H48" s="48">
        <f t="shared" si="0"/>
        <v>6.0273972602739728E-2</v>
      </c>
      <c r="I48" s="60" cm="1">
        <f t="array" ref="I48">BS_Vega("P",$B48,$D$4,$F48,$H48,$C48)</f>
        <v>20.039006730858034</v>
      </c>
      <c r="J48" s="60" cm="1">
        <f t="array" ref="J48">BS_Vega("P",$B48,$E$4,$G48,$H48,$C48)</f>
        <v>10.854714186938732</v>
      </c>
      <c r="K48" s="39" cm="1">
        <f t="array" ref="K48">1 + BS_DELTA("P",$B48,$D$4,$F48,$H48,$C48) - BS_DELTA("P",$B48,$E$4,$G48,$H48,$C48)</f>
        <v>0.99438415775314104</v>
      </c>
      <c r="L48" s="39" cm="1">
        <f t="array" ref="L48">BS_Gamma("P",$B48,$D$4,$F48,$H48,$C48) - BS_Gamma("P",$B48,$E$4,$G48,$H48,$C48)</f>
        <v>4.6777586255601807E-5</v>
      </c>
      <c r="M48" s="39" cm="1">
        <f t="array" ref="M48">BS_Theta("P",$B48,$D$4,$F48,$H48,$C48) - BS_Theta("P",$B48,$E$4,$G48,$H48,$C48)</f>
        <v>-28.609885365155861</v>
      </c>
      <c r="N48" s="39" cm="1">
        <f t="array" ref="N48">BS_Vega("P",$B48,$D$4,$F48,$H48,$C48) - BS_Vega("P",$B48,$E$4,$G48,$H48,$C48)</f>
        <v>9.1842925439193017</v>
      </c>
      <c r="O48" s="49">
        <f t="shared" si="1"/>
        <v>2778.22</v>
      </c>
      <c r="P48" s="52">
        <f t="shared" si="2"/>
        <v>-11.480000000000018</v>
      </c>
      <c r="Q48" s="53">
        <f t="shared" si="10"/>
        <v>354.42999999999984</v>
      </c>
      <c r="R48" s="39">
        <f t="shared" si="3"/>
        <v>-11.2800000000002</v>
      </c>
      <c r="S48" s="54">
        <f t="shared" si="4"/>
        <v>-4.3004386917462334E-3</v>
      </c>
      <c r="T48" s="54">
        <f t="shared" si="4"/>
        <v>8.1494141093638728E-3</v>
      </c>
      <c r="U48" s="39">
        <f t="shared" si="5"/>
        <v>2.7397260273972603E-3</v>
      </c>
      <c r="V48" s="39">
        <f t="shared" si="6"/>
        <v>-11.204327889636833</v>
      </c>
      <c r="W48" s="39">
        <f t="shared" si="7"/>
        <v>-9.7482309819682395E-2</v>
      </c>
      <c r="X48" s="39">
        <f t="shared" si="8"/>
        <v>-0.1852751568158581</v>
      </c>
      <c r="Y48" s="51">
        <f t="shared" si="9"/>
        <v>-11.487085356272374</v>
      </c>
      <c r="Z48" s="39">
        <f t="shared" si="13"/>
        <v>354.78495545919606</v>
      </c>
      <c r="AA48" s="39">
        <f t="shared" si="13"/>
        <v>-3.2633450101281163</v>
      </c>
      <c r="AB48" s="39">
        <f t="shared" si="13"/>
        <v>2.6741679393837097</v>
      </c>
      <c r="AC48" s="51">
        <f t="shared" si="13"/>
        <v>354.19577838845157</v>
      </c>
      <c r="AE48" s="39">
        <v>-13.250974654296424</v>
      </c>
    </row>
    <row r="49" spans="1:31" ht="16.2" thickBot="1">
      <c r="A49" s="40">
        <v>40053</v>
      </c>
      <c r="B49" s="39">
        <v>2803.65</v>
      </c>
      <c r="C49" s="47">
        <v>8.2500000000000004E-3</v>
      </c>
      <c r="D49" s="43">
        <v>1</v>
      </c>
      <c r="E49" s="43">
        <v>0.5</v>
      </c>
      <c r="F49" s="48">
        <v>0.51735875286747635</v>
      </c>
      <c r="G49" s="48">
        <v>0.62396899534977135</v>
      </c>
      <c r="H49" s="48">
        <f t="shared" si="0"/>
        <v>5.7534246575342465E-2</v>
      </c>
      <c r="I49" s="60" cm="1">
        <f t="array" ref="I49">BS_Vega("P",$B49,$D$4,$F49,$H49,$C49)</f>
        <v>15.256108357379103</v>
      </c>
      <c r="J49" s="60" cm="1">
        <f t="array" ref="J49">BS_Vega("P",$B49,$E$4,$G49,$H49,$C49)</f>
        <v>7.4437801932494922</v>
      </c>
      <c r="K49" s="39" cm="1">
        <f t="array" ref="K49">1 + BS_DELTA("P",$B49,$D$4,$F49,$H49,$C49) - BS_DELTA("P",$B49,$E$4,$G49,$H49,$C49)</f>
        <v>0.99538889895139449</v>
      </c>
      <c r="L49" s="39" cm="1">
        <f t="array" ref="L49">BS_Gamma("P",$B49,$D$4,$F49,$H49,$C49) - BS_Gamma("P",$B49,$E$4,$G49,$H49,$C49)</f>
        <v>3.8825666357573756E-5</v>
      </c>
      <c r="M49" s="39" cm="1">
        <f t="array" ref="M49">BS_Theta("P",$B49,$D$4,$F49,$H49,$C49) - BS_Theta("P",$B49,$E$4,$G49,$H49,$C49)</f>
        <v>-28.117564899196609</v>
      </c>
      <c r="N49" s="39" cm="1">
        <f t="array" ref="N49">BS_Vega("P",$B49,$D$4,$F49,$H49,$C49) - BS_Vega("P",$B49,$E$4,$G49,$H49,$C49)</f>
        <v>7.8123281641296112</v>
      </c>
      <c r="O49" s="49">
        <f t="shared" si="1"/>
        <v>2804.15</v>
      </c>
      <c r="P49" s="55">
        <f>O49-O48</f>
        <v>25.930000000000291</v>
      </c>
      <c r="Q49" s="56">
        <f t="shared" si="10"/>
        <v>380.36000000000013</v>
      </c>
      <c r="R49" s="39">
        <f t="shared" si="3"/>
        <v>26.0300000000002</v>
      </c>
      <c r="S49" s="54">
        <f t="shared" si="4"/>
        <v>3.5471119148474672E-3</v>
      </c>
      <c r="T49" s="54">
        <f t="shared" si="4"/>
        <v>-5.3634675695465317E-3</v>
      </c>
      <c r="U49" s="39">
        <f t="shared" si="5"/>
        <v>2.7397260273972603E-3</v>
      </c>
      <c r="V49" s="39">
        <f t="shared" si="6"/>
        <v>25.883819626314459</v>
      </c>
      <c r="W49" s="39">
        <f t="shared" si="7"/>
        <v>-6.2535915854182639E-2</v>
      </c>
      <c r="X49" s="39">
        <f t="shared" si="8"/>
        <v>0.12929950705507767</v>
      </c>
      <c r="Y49" s="61">
        <f t="shared" si="9"/>
        <v>25.950583217515351</v>
      </c>
      <c r="Z49" s="39">
        <f t="shared" si="13"/>
        <v>380.6687750855105</v>
      </c>
      <c r="AA49" s="39">
        <f t="shared" si="13"/>
        <v>-3.325880925982299</v>
      </c>
      <c r="AB49" s="39">
        <f t="shared" si="13"/>
        <v>2.8034674464387872</v>
      </c>
      <c r="AC49" s="61">
        <f t="shared" si="13"/>
        <v>380.14636160596694</v>
      </c>
      <c r="AE49" s="39">
        <v>-13.455830546884647</v>
      </c>
    </row>
    <row r="50" spans="1:31" ht="15.6">
      <c r="A50" s="40"/>
      <c r="C50" s="47"/>
      <c r="D50" s="43"/>
      <c r="E50" s="43"/>
      <c r="F50" s="48"/>
      <c r="G50" s="48"/>
      <c r="H50" s="48"/>
      <c r="I50" s="60"/>
      <c r="J50" s="60"/>
    </row>
    <row r="51" spans="1:31">
      <c r="A51" s="39" t="s">
        <v>97</v>
      </c>
    </row>
    <row r="53" spans="1:31">
      <c r="A53" s="39" t="s">
        <v>98</v>
      </c>
    </row>
    <row r="55" spans="1:31">
      <c r="A55" s="39" t="s">
        <v>99</v>
      </c>
    </row>
    <row r="57" spans="1:31">
      <c r="A57" s="39" t="s">
        <v>100</v>
      </c>
    </row>
    <row r="58" spans="1:31">
      <c r="A58" s="40"/>
    </row>
    <row r="59" spans="1:31">
      <c r="A59" s="40" t="s">
        <v>101</v>
      </c>
    </row>
    <row r="60" spans="1:31">
      <c r="A60" s="40"/>
    </row>
    <row r="61" spans="1:31">
      <c r="A61" s="40"/>
    </row>
    <row r="62" spans="1:31">
      <c r="A62" s="40"/>
    </row>
    <row r="63" spans="1:31">
      <c r="A63" s="40"/>
    </row>
    <row r="64" spans="1:31">
      <c r="A64" s="40"/>
    </row>
    <row r="65" spans="1:1">
      <c r="A65" s="40"/>
    </row>
    <row r="66" spans="1:1">
      <c r="A66" s="40"/>
    </row>
    <row r="67" spans="1:1">
      <c r="A67" s="40"/>
    </row>
    <row r="68" spans="1:1">
      <c r="A68" s="40"/>
    </row>
    <row r="69" spans="1:1">
      <c r="A69" s="40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6DF218BD414044888DE53561F6B7F51" ma:contentTypeVersion="7" ma:contentTypeDescription="Crée un document." ma:contentTypeScope="" ma:versionID="2284d33197fa69072caa23aed33a85b0">
  <xsd:schema xmlns:xsd="http://www.w3.org/2001/XMLSchema" xmlns:xs="http://www.w3.org/2001/XMLSchema" xmlns:p="http://schemas.microsoft.com/office/2006/metadata/properties" xmlns:ns2="6814b5df-6195-42e9-bd8b-5d0a36683b3f" targetNamespace="http://schemas.microsoft.com/office/2006/metadata/properties" ma:root="true" ma:fieldsID="93e177bd4eddec4d2dc96ddd06f41597" ns2:_="">
    <xsd:import namespace="6814b5df-6195-42e9-bd8b-5d0a36683b3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14b5df-6195-42e9-bd8b-5d0a36683b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CA7E017-BD3A-438D-95BF-EEB7ADFDF08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34CE544-D424-42D3-A98E-358EB36564EA}">
  <ds:schemaRefs>
    <ds:schemaRef ds:uri="http://purl.org/dc/dcmitype/"/>
    <ds:schemaRef ds:uri="http://purl.org/dc/terms/"/>
    <ds:schemaRef ds:uri="http://www.w3.org/XML/1998/namespace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6814b5df-6195-42e9-bd8b-5d0a36683b3f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B3A439D-8279-498E-82A5-24C1B870984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814b5df-6195-42e9-bd8b-5d0a36683b3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Stress Test de la stratégie 1</vt:lpstr>
      <vt:lpstr>Backtest Stratégie 1</vt:lpstr>
      <vt:lpstr>Stress Test de la stratégie 2</vt:lpstr>
      <vt:lpstr>Backtest Stratégie 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DUMAS Pauline</dc:creator>
  <cp:keywords/>
  <dc:description/>
  <cp:lastModifiedBy>BOCHARD Orlane</cp:lastModifiedBy>
  <cp:revision/>
  <dcterms:created xsi:type="dcterms:W3CDTF">2026-02-13T11:07:27Z</dcterms:created>
  <dcterms:modified xsi:type="dcterms:W3CDTF">2026-03-01T21:23:56Z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0x01010096DF218BD414044888DE53561F6B7F51</vt:lpwstr>
  </property>
</Properties>
</file>